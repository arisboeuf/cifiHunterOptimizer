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heet" sheetId="1" r:id="rId5"/>
    <sheet state="visible" name="Exponent Helper" sheetId="2" r:id="rId6"/>
    <sheet state="visible" name="StorageLocker" sheetId="3" r:id="rId7"/>
    <sheet state="visible" name="Ver" sheetId="4" r:id="rId8"/>
    <sheet state="visible" name="ExodusData" sheetId="5" r:id="rId9"/>
    <sheet state="visible" name="TemporalData" sheetId="6" r:id="rId10"/>
    <sheet state="visible" name="InnovationData" sheetId="7" r:id="rId11"/>
    <sheet state="visible" name="AttractionData" sheetId="8" r:id="rId12"/>
    <sheet state="visible" name="CreationData" sheetId="9" r:id="rId13"/>
    <sheet state="visible" name="PowerData" sheetId="10" r:id="rId14"/>
  </sheets>
  <definedNames>
    <definedName name="TemporalityNode2">MainSheet!$AQ$27</definedName>
    <definedName name="PowerNode2">MainSheet!$AA$52</definedName>
    <definedName name="PowerNode1">MainSheet!$Y$52</definedName>
    <definedName name="AttractionNode2">MainSheet!$K$44</definedName>
    <definedName name="CreationNode3">MainSheet!$M$27</definedName>
    <definedName name="InnovationIsUpgrading">MainSheet!$BN$24</definedName>
    <definedName name="CreationNode2">MainSheet!$K$27</definedName>
    <definedName name="TemporalityIsUpgrading">MainSheet!$BN$16</definedName>
    <definedName name="CreationLevel">MainSheet!$J$15</definedName>
    <definedName name="CreationNode1">MainSheet!$I$27</definedName>
    <definedName name="ExodusNode1">MainSheet!$Y$33</definedName>
    <definedName name="PowerLevel">MainSheet!$Z$40</definedName>
    <definedName name="AttractionNode3">MainSheet!$M$44</definedName>
    <definedName name="AttractionLevel">MainSheet!$J$32</definedName>
    <definedName name="AttractionIsUpgrading">MainSheet!$BN$32</definedName>
    <definedName name="AttractionNode1">MainSheet!$I$44</definedName>
    <definedName name="CreationIsUpgrading">MainSheet!$BN$37</definedName>
    <definedName name="ExodusNode2">MainSheet!$AA$33</definedName>
    <definedName name="TemporalityNode1">MainSheet!$AO$27</definedName>
    <definedName name="PowerIsUpgrading">MainSheet!$BN$46</definedName>
    <definedName name="ExodusIsUpgrading">MainSheet!$BN$9</definedName>
    <definedName name="InnovationNode1">MainSheet!$AO$44</definedName>
    <definedName name="TemporalityLevel">MainSheet!$AP$15</definedName>
    <definedName name="InnovationLevel">MainSheet!$AP$32</definedName>
    <definedName name="InnovationNode3">MainSheet!$AS$44</definedName>
    <definedName name="PowerNode3">MainSheet!$AC$52</definedName>
    <definedName name="ExodusNode3">MainSheet!$AC$33</definedName>
    <definedName name="InnovationNode2">MainSheet!$AQ$44</definedName>
    <definedName name="ExodusLevel">MainSheet!$Z$24</definedName>
    <definedName name="TemporalityNode3">MainSheet!$AS$27</definedName>
    <definedName name="PowderNode3">MainSheet!$AC$52</definedName>
  </definedNames>
  <calcPr/>
</workbook>
</file>

<file path=xl/sharedStrings.xml><?xml version="1.0" encoding="utf-8"?>
<sst xmlns="http://schemas.openxmlformats.org/spreadsheetml/2006/main" count="744" uniqueCount="202">
  <si>
    <t>0.1</t>
  </si>
  <si>
    <t>Current</t>
  </si>
  <si>
    <t>Todo:</t>
  </si>
  <si>
    <t>Exponent Converter</t>
  </si>
  <si>
    <t>Sum of costs for Levels in an upgrade</t>
  </si>
  <si>
    <t>Abv</t>
  </si>
  <si>
    <t>Exodus Quality</t>
  </si>
  <si>
    <t>Name</t>
  </si>
  <si>
    <t>Value</t>
  </si>
  <si>
    <t>K</t>
  </si>
  <si>
    <t>Thousand (Kilo)</t>
  </si>
  <si>
    <t>Latest</t>
  </si>
  <si>
    <t>M</t>
  </si>
  <si>
    <t>Million</t>
  </si>
  <si>
    <t>B</t>
  </si>
  <si>
    <t>Eventually
Figure out hidden scaling values on GUs we haven't found yet (If you get any incorrect prices, let me know)
- Fix infinity (Mech cap scaling hits it way before max level 999</t>
  </si>
  <si>
    <t>Billion</t>
  </si>
  <si>
    <t>T</t>
  </si>
  <si>
    <t>Trillion</t>
  </si>
  <si>
    <t>Qa</t>
  </si>
  <si>
    <t>Quadrillion</t>
  </si>
  <si>
    <t>Qu</t>
  </si>
  <si>
    <t>Quintillion</t>
  </si>
  <si>
    <t>Sx</t>
  </si>
  <si>
    <t>Sextillion</t>
  </si>
  <si>
    <t>Sp</t>
  </si>
  <si>
    <t>Septillion</t>
  </si>
  <si>
    <t>Changelog - This is local and not updated. The front page change is realtime</t>
  </si>
  <si>
    <t>O</t>
  </si>
  <si>
    <t>Octillion</t>
  </si>
  <si>
    <t>N</t>
  </si>
  <si>
    <t>Nonillion</t>
  </si>
  <si>
    <t>D</t>
  </si>
  <si>
    <t>This Sheet is no longer maintained. Adam has taken over. Please use his sheet. You can find the link at the top page or in the discord</t>
  </si>
  <si>
    <t>Decillion</t>
  </si>
  <si>
    <t>v0.018
- Corrected Inno 2 Gems in the 'Boost Gained' Field. These were incorrect.</t>
  </si>
  <si>
    <t>v0.017
- Added Temp 3 &amp; Inno 2
      &gt; Along with the 9 new GUs, and inputs required (LRs &amp; Research Levels)
- Adjusted Power GU strengths alongside game buffs
- Added in indicators for when a GU has hit max level
      &gt; Not all bonuses work up to there, as normal sheets cap is e308
v0.017a (Thanks Shu)
- Fixed Inno 1 reporting as max
- Fixed Power GUs not changing colour correctly in input area
v0.017b
- Added extra x100 scaling per level to the Creation GUs got with update (Post lvl 8)
- RP, Not RR.
V0.017c
- Fixed StorageLocker Inno GUs referencing wrong cells</t>
  </si>
  <si>
    <t>v0.016
- Added Exodus 4
- Tested as many upgrades as I could to find hidden scalings,
    thankfuly only found 1 in new GUs so far
- Lowered cost of Power GN 2&amp;3 to match game update
v0.016a
- Fixed the Power outputs in the cart section to the correct scaling factors
(missed from the buff update)</t>
  </si>
  <si>
    <t>Power Quality</t>
  </si>
  <si>
    <r>
      <rPr>
        <rFont val="Lexend"/>
        <color theme="1"/>
      </rPr>
      <t xml:space="preserve">v0.015 - v0.0015c
- Added Power 1
      &gt; Includes 9 new Gem Upgrades
- Rearranged sheet a bit to fit new upgrades, you won't be safe to copy
from old sheet, will need to input new values
      &gt; Moved optional inputs such as 'LMs' to below the gem area
- Fixed the Exo Cells GU level cap to 999
- Fixed incorrect cell reference causing incorrect 'NextCost' and 'Sum Of Upgrades'
- Fixed Creation GN2 cost 1bil -&gt; 500mil
      &gt; Why did no one tell me this was wrong for so long &gt;.&lt;
- Fixed up the goofed 'predictive +1 GU level bonus' for Creation 3 RP   (BV:BY35)
</t>
    </r>
    <r>
      <rPr>
        <rFont val="Lexend"/>
        <b/>
        <color theme="1"/>
      </rPr>
      <t xml:space="preserve">
v0.015d
- Updated power bonus scaling to match game update (x1.0012 and x1.02)</t>
    </r>
  </si>
  <si>
    <t>v0.014
- Added Creation 2
      &gt; Includes Tech Hardware &amp; Software Gem Upgrades
- Added Creation 3
      &gt; Includes Cells, Mp, Shards, Rp Gem Upgrades
- Reformatted sheet to fit more in the boxes
- Correct cell references for the new sheet format
v0.014a
- Added cre3 cells GU cost scaling of 1.8x (Thanks Maya)
No current data on hidden cost scaling for new GUs, but considering max levels,
probably are not any
v0.014b
- Corrected the Exodus Cells GU cost scaling within the ExodusData sheet
      &gt; Should fix incorrect prices post 40 on the planner table</t>
  </si>
  <si>
    <t>v0.013
- Added the rest of cost scalings currently in the game
      &gt; Data provided by Chrysto, I'll do up a summary of all increases in Discord
v0.013a
- Cosmetic Change. Boost Gained will always output at least 1 GU level
      &gt; If NOT applying relevant upgrades, boost will be red (+1 GU potential)
      &gt; If applying +1 GU or GQ, boost will be green (Actual Gains)
v0.013b
- Fixed a bunch of cost errors
- Fixed incorrect output on Inno GU</t>
  </si>
  <si>
    <t>v0.012
- Added some increase cost scalings SamBlaize and I found
      &gt; Starting at level 15, Shards upgrade increases a further x1.1 per level
      &gt; Starting at level 15, Mp (LMs) increases a further x1.01 per level
      &gt; Starting at level 10, Studies increases a further x1.1 per level
      &gt;
      &gt; Starting at level 10, Borge Loot increases a further x1.2 per level
              ~ Chrysto why you hate me :(</t>
  </si>
  <si>
    <t>v0.011
- Added data to planner to see how much of a boost the upgrades you buy provide
      &gt; These are to their respective multipliers
      &gt; Takes into account upgrading a Gem Quality as well</t>
  </si>
  <si>
    <t>Cells Bonus</t>
  </si>
  <si>
    <t>v0.010
- Added Gem Nodes (Descriptions may come later in a seperate tab)
- Fixed version indicator that I broke in v0.009
v0.010a
- Fixed incorrect costs in StorageLocker due to moving of cells
- Framed the outputs section</t>
  </si>
  <si>
    <t>v0.009
- Added Exodus 3 and Rp Bonuses (Nodes not done yet)
- Couple minor changes around the joint
- Added rand to version formulas to force update check</t>
  </si>
  <si>
    <t>v0.008
- Added Increased scaling of Exodus Cells at 15 and 30
- Adjusted formula work to allow for scaling better
- Added current level reminder and next level costs to planner
- Added alternating colours in planner to help differentiate the lines</t>
  </si>
  <si>
    <t>v0.007
- Added Creation Gem Lvl 1 to Upgrade Planner
- Added Tech Cap Bonus to Upgrade Planner
- Added Attraction 3 &amp; Catchup Power to Sheet
      &gt; Also added these to planner</t>
  </si>
  <si>
    <t>v0.006
- Added Creation Gem lvl 1 cost (1000)
- Added Ozzy Loot Gem Upgrade Data
- Corrected a couple formulas that were not using available Named Ranges</t>
  </si>
  <si>
    <t>v0.005
- Reformatted formulas in planner to use named ranges and multi line formulas
v0.005a
- Updated Attraction cost and Borge Loot scaling</t>
  </si>
  <si>
    <t>v0.004
Massively Upgraded Spending Planner
    &gt; Added Gem Order functionality
          Planner will now yell at you if you don't have a quality upgrade you need
    &gt; Moved all the SumCost values for planner to the Storage locker
           I need to use the value so much, the formulas were extra messy
v0.004a
- Changed 'Left to Gain' field to switch between 'Surplus and Missing Funds'
    &gt; Includes colours to see if you're in the red or green
v0.004b
- Deleted most unused cells in all sheets. Just in case for performance reasons
    &gt; Not increasing version indicator for this
v0.004c
- Adjusted Version Indicator to work off = instead of &gt; due to letters
- Fixed Attraction Quality 2 cost. Was a string, now is a number</t>
  </si>
  <si>
    <t>We currently only have 2 quality levels available in Exodus, but the 5 bonuses from icons tells us there will be 5</t>
  </si>
  <si>
    <t>v0.003
- Integrated Version Control/Indicator, and Changelog
v0.03a
- Integreated version data on front page
v0.03b
- Made version text Green is latest, Easier to tell at a glance</t>
  </si>
  <si>
    <t>Exodus Quality Upgrade</t>
  </si>
  <si>
    <t>v0.002
- Added Spending Planner
    &gt; Basic and allowed for selecting 1 upgrade of a type
v0.002a
- Added Current Orb fields, and orbs needed fields
v0.002b
- Upgraded Planner to allow for multiple upgrade levels.
   &gt; Only 1 quality level at a time though
   &gt; Does not force gem order, just levels</t>
  </si>
  <si>
    <t>Cells Multi Bonus</t>
  </si>
  <si>
    <t>v0.001
-First Release
-Added All known Gem Calcs we had
v0.001a
-Fixed a couple of issues with calcs</t>
  </si>
  <si>
    <t>Shards Multi Bonus</t>
  </si>
  <si>
    <t>Rp Multi Bonus</t>
  </si>
  <si>
    <t>Cradle Power Bonus</t>
  </si>
  <si>
    <t>MP Multi Bonus</t>
  </si>
  <si>
    <t>AP Multi Bonus</t>
  </si>
  <si>
    <t>Base Cost:</t>
  </si>
  <si>
    <t>Cost Multi:</t>
  </si>
  <si>
    <t>Current Level</t>
  </si>
  <si>
    <t>Cost to Upgrade</t>
  </si>
  <si>
    <t>Bonus Unlocked</t>
  </si>
  <si>
    <t>Cells Multi</t>
  </si>
  <si>
    <t>Shards Bonus</t>
  </si>
  <si>
    <t>Aux Power Bonus</t>
  </si>
  <si>
    <t>RP Bonus</t>
  </si>
  <si>
    <t>Temporal Quality Upgrade</t>
  </si>
  <si>
    <t>MP (LMs) Bonus</t>
  </si>
  <si>
    <t>MP (Ticks) Bonus</t>
  </si>
  <si>
    <t>MP Bonus (Zag Rank)</t>
  </si>
  <si>
    <t>LM MAX LEVELS (Low Tier)</t>
  </si>
  <si>
    <t>MP Bonus (Zag Crew)</t>
  </si>
  <si>
    <t>MP Bonus (LRs)</t>
  </si>
  <si>
    <t>Zag Power Bonus</t>
  </si>
  <si>
    <t>Shards Multi</t>
  </si>
  <si>
    <t>MP Bonus</t>
  </si>
  <si>
    <t>MP (LMs)</t>
  </si>
  <si>
    <t>Rp Multi</t>
  </si>
  <si>
    <t>MP &amp; AP</t>
  </si>
  <si>
    <t>Heph Power Bonus</t>
  </si>
  <si>
    <t>AP Bonus</t>
  </si>
  <si>
    <t>Dem Power Bonus</t>
  </si>
  <si>
    <t>MP (Ticks)</t>
  </si>
  <si>
    <t>Koios Power Bonus</t>
  </si>
  <si>
    <t>MP &amp; LM levels</t>
  </si>
  <si>
    <t>Zeus Power Bonus</t>
  </si>
  <si>
    <r>
      <rPr>
        <rFont val="Lexend"/>
        <b/>
        <color rgb="FFCC4125"/>
        <sz val="18.0"/>
      </rPr>
      <t xml:space="preserve">Please find Adam's Updated version over here
</t>
    </r>
    <r>
      <rPr>
        <rFont val="Lexend"/>
        <b/>
        <color rgb="FF1155CC"/>
        <sz val="18.0"/>
        <u/>
      </rPr>
      <t>https://docs.google.com/spreadsheets/d/1w8pYKnByx0HZIapmNpmXy8eWuCsVg3D74nI79cSocUQ/copy</t>
    </r>
  </si>
  <si>
    <t>Temporality Quality</t>
  </si>
  <si>
    <t>Bonus Blueprints</t>
  </si>
  <si>
    <t>MP(LMs)</t>
  </si>
  <si>
    <t>Bonus Inno Cores</t>
  </si>
  <si>
    <t>MAXED</t>
  </si>
  <si>
    <t>MP(Ticks)</t>
  </si>
  <si>
    <t>MP(Zag Ranks)</t>
  </si>
  <si>
    <t>LM  MAX LEVELS</t>
  </si>
  <si>
    <t>Unlock Order is forced as follows:</t>
  </si>
  <si>
    <t>MP(Zag Crew)</t>
  </si>
  <si>
    <t>If you want to look ahead to individual costs,
Increase the level in Gems temporarily</t>
  </si>
  <si>
    <t>Current Orbs Saved:</t>
  </si>
  <si>
    <t>Exodus 1 -&gt; Cells 1 -&gt; Exodus 2</t>
  </si>
  <si>
    <t>MP(LRs)</t>
  </si>
  <si>
    <t>Gem of Evolution</t>
  </si>
  <si>
    <t>Orbs accumulated this TR:</t>
  </si>
  <si>
    <t>This planner relies on your Gem info to be up to date</t>
  </si>
  <si>
    <t>-&gt; Temporal 1 -&gt; Innovation 1 -&gt; Temporal 2</t>
  </si>
  <si>
    <t>Quality:</t>
  </si>
  <si>
    <t>Innovation Quality</t>
  </si>
  <si>
    <t>Studies/Study</t>
  </si>
  <si>
    <t>-&gt; Attraction 1 -&gt; Attraction 2 -&gt; Creation 1</t>
  </si>
  <si>
    <t>When you increase a Gem's quality, it's boost becomes visible</t>
  </si>
  <si>
    <t>Upgrades</t>
  </si>
  <si>
    <t>Lv</t>
  </si>
  <si>
    <t>Cost</t>
  </si>
  <si>
    <t>#</t>
  </si>
  <si>
    <t>Next Cost</t>
  </si>
  <si>
    <t>Sum of Upgrades</t>
  </si>
  <si>
    <t>Boost Gained</t>
  </si>
  <si>
    <t>If A Number Goes Over E308, There Will Be An Error. Mostly This Only Happens On Visible Boosts &amp; Can Be Ignored</t>
  </si>
  <si>
    <t>Gem of Exodus</t>
  </si>
  <si>
    <t>Attraction Quality</t>
  </si>
  <si>
    <t>Borge Loot</t>
  </si>
  <si>
    <t>Ozzy Loot</t>
  </si>
  <si>
    <t>Catch Up Power</t>
  </si>
  <si>
    <t>If you can afford anything in this list, and are up to it,</t>
  </si>
  <si>
    <t>Cell Bonus</t>
  </si>
  <si>
    <t>Creation Quality</t>
  </si>
  <si>
    <t>Mech Bonus Cap</t>
  </si>
  <si>
    <t>Hardware Bonus</t>
  </si>
  <si>
    <t>Software Bonus</t>
  </si>
  <si>
    <t>you are forced to buy it before other qualities</t>
  </si>
  <si>
    <t>Shard Bonus</t>
  </si>
  <si>
    <t>Rp Bonus</t>
  </si>
  <si>
    <t>Innovation Quality Upgrade</t>
  </si>
  <si>
    <t>Studies/Study Bonus</t>
  </si>
  <si>
    <t>Attraction Quality Upgrade</t>
  </si>
  <si>
    <t>Borge Loot Bonus</t>
  </si>
  <si>
    <t>Ozzy Loot Bonus</t>
  </si>
  <si>
    <t>Cells/Mp/Shards/Rp/Ap</t>
  </si>
  <si>
    <t>Gem of Creation</t>
  </si>
  <si>
    <t>Gem of Temporality</t>
  </si>
  <si>
    <t>Mech Cap Upgrade</t>
  </si>
  <si>
    <t>Mp Bonus</t>
  </si>
  <si>
    <t>Tech/Software Upgrades</t>
  </si>
  <si>
    <t>MP Bonus (LMs)</t>
  </si>
  <si>
    <t>Cells/Mp/Shards/Rp</t>
  </si>
  <si>
    <t>Power Quality Upgrade</t>
  </si>
  <si>
    <t>Cradle Bonus</t>
  </si>
  <si>
    <t>Auxesia Bonus</t>
  </si>
  <si>
    <t>Zagreus Bonus</t>
  </si>
  <si>
    <t>Heph Bonus</t>
  </si>
  <si>
    <t>Demeter Bonus</t>
  </si>
  <si>
    <t>Koios Bonus</t>
  </si>
  <si>
    <t>Zeus Bonus</t>
  </si>
  <si>
    <t>Blueprints</t>
  </si>
  <si>
    <t>Inno Cores</t>
  </si>
  <si>
    <t>Installs Power
Blueprint Bonus
Inno Core Bonus</t>
  </si>
  <si>
    <t>MAX</t>
  </si>
  <si>
    <t>MP Bonus (Ticks)</t>
  </si>
  <si>
    <t>MP  (Zag Ranks)</t>
  </si>
  <si>
    <t>Gem Nodes</t>
  </si>
  <si>
    <t>Max LM Levels</t>
  </si>
  <si>
    <t>MP (Zag Crew)</t>
  </si>
  <si>
    <t>Max</t>
  </si>
  <si>
    <t>Gem of Innovation</t>
  </si>
  <si>
    <t>Gem of Attraction</t>
  </si>
  <si>
    <t>Mech Cap Boost</t>
  </si>
  <si>
    <t>Gem of Power</t>
  </si>
  <si>
    <t>Current Ver:</t>
  </si>
  <si>
    <t>LMs:</t>
  </si>
  <si>
    <t>LRs:</t>
  </si>
  <si>
    <t>TR Ticks:</t>
  </si>
  <si>
    <t>Tech Upgrades:</t>
  </si>
  <si>
    <t>Research Levels</t>
  </si>
  <si>
    <t>Power Inputs</t>
  </si>
  <si>
    <t>Rank</t>
  </si>
  <si>
    <t>Crew</t>
  </si>
  <si>
    <t>Cradle</t>
  </si>
  <si>
    <t>Latest Changes:</t>
  </si>
  <si>
    <t>Aux</t>
  </si>
  <si>
    <t>If 'Boost Gained' is RED, That is the bonus from +1 level to the GU</t>
  </si>
  <si>
    <t>Zag</t>
  </si>
  <si>
    <t>Heph</t>
  </si>
  <si>
    <t>Gem Nodes (Requires Exodus 3)</t>
  </si>
  <si>
    <t>Dem</t>
  </si>
  <si>
    <t>Temporality</t>
  </si>
  <si>
    <t>Innovation</t>
  </si>
  <si>
    <t>Attraction</t>
  </si>
  <si>
    <t>Creation</t>
  </si>
  <si>
    <t>Koi</t>
  </si>
  <si>
    <t>Zeus</t>
  </si>
  <si>
    <t>These values are for bonuses and if they are slightly off, wont matter</t>
  </si>
  <si>
    <t>Power</t>
  </si>
  <si>
    <t>Total Outputs</t>
  </si>
  <si>
    <t>Total Goal</t>
  </si>
  <si>
    <t>Full Changelog can be seen in the Ver tab</t>
  </si>
  <si>
    <t>Amount you need this TR: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</si>
</sst>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=997000]0.0,,&quot;M&quot;;[&lt;1000]0.00;0.00,&quot;K&quot;"/>
    <numFmt numFmtId="165" formatCode="[&lt;1000]0.00;[&lt;999999]#,##.00,&quot;K&quot;;0.00E+00"/>
    <numFmt numFmtId="166" formatCode="[&lt;1000]x0.000;[&lt;999999]x#,##.000,&quot;K&quot;;x0.00E+00"/>
    <numFmt numFmtId="167" formatCode="[&lt;1000]+0.000;[&lt;999999]+#,##.000,&quot;K&quot;;+0.00E+00"/>
  </numFmts>
  <fonts count="29">
    <font>
      <sz val="10.0"/>
      <color rgb="FF000000"/>
      <name val="Arial"/>
      <scheme val="minor"/>
    </font>
    <font>
      <color theme="1"/>
      <name val="Arial"/>
    </font>
    <font>
      <color theme="1"/>
      <name val="Lexend"/>
    </font>
    <font>
      <sz val="10.0"/>
      <color theme="1"/>
      <name val="Lexend"/>
    </font>
    <font>
      <b/>
      <color theme="1"/>
      <name val="Arial"/>
    </font>
    <font/>
    <font>
      <b/>
      <sz val="13.0"/>
      <color theme="1"/>
      <name val="Lexend"/>
    </font>
    <font>
      <sz val="10.0"/>
      <color rgb="FF000000"/>
      <name val="Lexend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u/>
      <sz val="18.0"/>
      <color rgb="FFCC4125"/>
      <name val="Lexend"/>
    </font>
    <font>
      <b/>
      <sz val="14.0"/>
      <color rgb="FFCC4125"/>
      <name val="Lexend"/>
    </font>
    <font>
      <b/>
      <color theme="1"/>
      <name val="Lexend"/>
    </font>
    <font>
      <sz val="13.0"/>
      <color theme="1"/>
      <name val="Lexend"/>
    </font>
    <font>
      <b/>
      <color rgb="FFCC4125"/>
      <name val="Lexend"/>
    </font>
    <font>
      <b/>
      <sz val="10.0"/>
      <color theme="1"/>
      <name val="Lexend"/>
    </font>
    <font>
      <b/>
      <color rgb="FF000000"/>
      <name val="Lexend"/>
    </font>
    <font>
      <b/>
      <color rgb="FF38761D"/>
      <name val="Lexend"/>
    </font>
    <font>
      <sz val="9.0"/>
      <color rgb="FF1F1F1F"/>
      <name val="Lexend"/>
    </font>
    <font>
      <color rgb="FF3D85C6"/>
      <name val="Lexend"/>
    </font>
    <font>
      <b/>
      <sz val="11.0"/>
      <color rgb="FFCC0000"/>
      <name val="Lexend"/>
    </font>
    <font>
      <color rgb="FFCC0000"/>
      <name val="Lexend"/>
    </font>
    <font>
      <sz val="10.0"/>
      <color rgb="FF980000"/>
      <name val="Lexend"/>
    </font>
    <font>
      <sz val="9.0"/>
      <color theme="1"/>
      <name val="Lexend"/>
    </font>
    <font>
      <b/>
      <color rgb="FF990000"/>
      <name val="Lexend"/>
    </font>
    <font>
      <b/>
      <sz val="15.0"/>
      <color theme="1"/>
      <name val="Lexend"/>
    </font>
    <font>
      <b/>
      <sz val="25.0"/>
      <color rgb="FFA61C00"/>
      <name val="Lexend"/>
    </font>
    <font>
      <b/>
      <sz val="10.0"/>
      <color rgb="FFA61C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BDBDBD"/>
        <bgColor rgb="FFBDBDBD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3BAF7"/>
        <bgColor rgb="FFD3BAF7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right" readingOrder="0" vertical="bottom"/>
    </xf>
    <xf borderId="0" fillId="0" fontId="3" numFmtId="0" xfId="0" applyFont="1"/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horizontal="right"/>
    </xf>
    <xf borderId="0" fillId="0" fontId="2" numFmtId="0" xfId="0" applyAlignment="1" applyFont="1">
      <alignment readingOrder="0" vertical="bottom"/>
    </xf>
    <xf borderId="0" fillId="0" fontId="3" numFmtId="4" xfId="0" applyFont="1" applyNumberFormat="1"/>
    <xf borderId="2" fillId="0" fontId="1" numFmtId="0" xfId="0" applyAlignment="1" applyBorder="1" applyFont="1">
      <alignment vertical="bottom"/>
    </xf>
    <xf borderId="0" fillId="2" fontId="4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/>
    </xf>
    <xf borderId="2" fillId="0" fontId="5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5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vertical="bottom"/>
    </xf>
    <xf borderId="0" fillId="0" fontId="3" numFmtId="0" xfId="0" applyAlignment="1" applyFont="1">
      <alignment horizontal="right" readingOrder="0"/>
    </xf>
    <xf borderId="2" fillId="0" fontId="1" numFmtId="1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left" readingOrder="0" shrinkToFit="0" vertical="top" wrapText="1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6" numFmtId="0" xfId="0" applyAlignment="1" applyBorder="1" applyFont="1">
      <alignment readingOrder="0" shrinkToFit="0" wrapText="1"/>
    </xf>
    <xf borderId="3" fillId="0" fontId="1" numFmtId="11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readingOrder="0"/>
    </xf>
    <xf borderId="0" fillId="3" fontId="7" numFmtId="4" xfId="0" applyFill="1" applyFont="1" applyNumberFormat="1"/>
    <xf borderId="0" fillId="0" fontId="8" numFmtId="164" xfId="0" applyFont="1" applyNumberFormat="1"/>
    <xf borderId="0" fillId="0" fontId="8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0" fillId="0" fontId="9" numFmtId="0" xfId="0" applyFont="1"/>
    <xf borderId="0" fillId="0" fontId="9" numFmtId="0" xfId="0" applyAlignment="1" applyFont="1">
      <alignment horizontal="center" readingOrder="0"/>
    </xf>
    <xf borderId="4" fillId="0" fontId="2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3" fontId="7" numFmtId="4" xfId="0" applyAlignment="1" applyFill="1" applyFont="1" applyNumberFormat="1">
      <alignment readingOrder="0"/>
    </xf>
    <xf borderId="0" fillId="0" fontId="2" numFmtId="0" xfId="0" applyFont="1"/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8" numFmtId="165" xfId="0" applyFont="1" applyNumberFormat="1"/>
    <xf borderId="0" fillId="0" fontId="1" numFmtId="16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8" numFmtId="165" xfId="0" applyAlignment="1" applyFont="1" applyNumberFormat="1">
      <alignment readingOrder="0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8" numFmtId="11" xfId="0" applyAlignment="1" applyFont="1" applyNumberFormat="1">
      <alignment horizontal="center" readingOrder="0"/>
    </xf>
    <xf borderId="0" fillId="2" fontId="8" numFmtId="0" xfId="0" applyAlignment="1" applyFill="1" applyFont="1">
      <alignment readingOrder="0"/>
    </xf>
    <xf borderId="0" fillId="2" fontId="8" numFmtId="165" xfId="0" applyFill="1" applyFont="1" applyNumberFormat="1"/>
    <xf borderId="0" fillId="4" fontId="11" numFmtId="0" xfId="0" applyAlignment="1" applyFill="1" applyFont="1">
      <alignment horizontal="center" readingOrder="0" vertical="top"/>
    </xf>
    <xf borderId="0" fillId="5" fontId="12" numFmtId="0" xfId="0" applyAlignment="1" applyFill="1" applyFont="1">
      <alignment horizontal="center" vertical="top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0" fillId="5" fontId="2" numFmtId="0" xfId="0" applyAlignment="1" applyFill="1" applyFont="1">
      <alignment vertical="top"/>
    </xf>
    <xf borderId="0" fillId="5" fontId="2" numFmtId="0" xfId="0" applyAlignment="1" applyFill="1" applyFont="1">
      <alignment shrinkToFit="0" vertical="top" wrapText="0"/>
    </xf>
    <xf borderId="2" fillId="5" fontId="2" numFmtId="0" xfId="0" applyAlignment="1" applyBorder="1" applyFill="1" applyFont="1">
      <alignment vertical="top"/>
    </xf>
    <xf borderId="2" fillId="0" fontId="2" numFmtId="0" xfId="0" applyAlignment="1" applyBorder="1" applyFont="1">
      <alignment vertical="top"/>
    </xf>
    <xf borderId="0" fillId="6" fontId="2" numFmtId="0" xfId="0" applyAlignment="1" applyFill="1" applyFont="1">
      <alignment vertical="top"/>
    </xf>
    <xf borderId="0" fillId="0" fontId="2" numFmtId="0" xfId="0" applyAlignment="1" applyFont="1">
      <alignment horizontal="right" readingOrder="0"/>
    </xf>
    <xf borderId="2" fillId="6" fontId="2" numFmtId="0" xfId="0" applyAlignment="1" applyBorder="1" applyFill="1" applyFont="1">
      <alignment vertical="top"/>
    </xf>
    <xf borderId="0" fillId="5" fontId="2" numFmtId="0" xfId="0" applyAlignment="1" applyFill="1" applyFont="1">
      <alignment vertical="top"/>
    </xf>
    <xf borderId="0" fillId="5" fontId="13" numFmtId="0" xfId="0" applyAlignment="1" applyFill="1" applyFont="1">
      <alignment horizontal="right" vertical="top"/>
    </xf>
    <xf borderId="0" fillId="7" fontId="13" numFmtId="165" xfId="0" applyAlignment="1" applyFill="1" applyFont="1" applyNumberFormat="1">
      <alignment horizontal="center" readingOrder="0" vertical="top"/>
    </xf>
    <xf borderId="0" fillId="5" fontId="14" numFmtId="0" xfId="0" applyAlignment="1" applyFill="1" applyFont="1">
      <alignment horizontal="center" vertical="top"/>
    </xf>
    <xf borderId="0" fillId="5" fontId="15" numFmtId="0" xfId="0" applyAlignment="1" applyFill="1" applyFont="1">
      <alignment shrinkToFit="0" vertical="top" wrapText="0"/>
    </xf>
    <xf borderId="0" fillId="5" fontId="2" numFmtId="0" xfId="0" applyAlignment="1" applyFill="1" applyFont="1">
      <alignment horizontal="right" vertical="top"/>
    </xf>
    <xf borderId="0" fillId="0" fontId="2" numFmtId="4" xfId="0" applyFont="1" applyNumberFormat="1"/>
    <xf borderId="0" fillId="8" fontId="2" numFmtId="0" xfId="0" applyAlignment="1" applyFill="1" applyFont="1">
      <alignment vertical="top"/>
    </xf>
    <xf borderId="0" fillId="5" fontId="2" numFmtId="165" xfId="0" applyAlignment="1" applyFill="1" applyFont="1" applyNumberFormat="1">
      <alignment horizontal="center" vertical="top"/>
    </xf>
    <xf borderId="1" fillId="5" fontId="2" numFmtId="0" xfId="0" applyAlignment="1" applyBorder="1" applyFill="1" applyFont="1">
      <alignment horizontal="center" readingOrder="0" vertical="top"/>
    </xf>
    <xf borderId="8" fillId="9" fontId="13" numFmtId="0" xfId="0" applyAlignment="1" applyBorder="1" applyFill="1" applyFont="1">
      <alignment horizontal="center" vertical="top"/>
    </xf>
    <xf borderId="6" fillId="9" fontId="5" numFmtId="0" xfId="0" applyBorder="1" applyFill="1" applyFont="1"/>
    <xf borderId="2" fillId="9" fontId="13" numFmtId="0" xfId="0" applyAlignment="1" applyBorder="1" applyFill="1" applyFont="1">
      <alignment horizontal="center" vertical="top"/>
    </xf>
    <xf borderId="1" fillId="9" fontId="13" numFmtId="0" xfId="0" applyAlignment="1" applyBorder="1" applyFill="1" applyFont="1">
      <alignment horizontal="center" vertical="top"/>
    </xf>
    <xf borderId="1" fillId="9" fontId="5" numFmtId="0" xfId="0" applyBorder="1" applyFill="1" applyFont="1"/>
    <xf borderId="3" fillId="9" fontId="5" numFmtId="0" xfId="0" applyBorder="1" applyFill="1" applyFont="1"/>
    <xf borderId="3" fillId="9" fontId="2" numFmtId="0" xfId="0" applyAlignment="1" applyBorder="1" applyFill="1" applyFont="1">
      <alignment horizontal="center" vertical="top"/>
    </xf>
    <xf borderId="3" fillId="9" fontId="13" numFmtId="0" xfId="0" applyAlignment="1" applyBorder="1" applyFill="1" applyFont="1">
      <alignment horizontal="center" vertical="top"/>
    </xf>
    <xf borderId="1" fillId="9" fontId="13" numFmtId="0" xfId="0" applyAlignment="1" applyBorder="1" applyFill="1" applyFont="1">
      <alignment vertical="top"/>
    </xf>
    <xf borderId="9" fillId="9" fontId="13" numFmtId="0" xfId="0" applyAlignment="1" applyBorder="1" applyFill="1" applyFont="1">
      <alignment readingOrder="0" vertical="top"/>
    </xf>
    <xf borderId="0" fillId="2" fontId="2" numFmtId="0" xfId="0" applyAlignment="1" applyFill="1" applyFont="1">
      <alignment horizontal="right" vertical="top"/>
    </xf>
    <xf borderId="0" fillId="5" fontId="2" numFmtId="165" xfId="0" applyAlignment="1" applyFill="1" applyFont="1" applyNumberFormat="1">
      <alignment horizontal="right" vertical="top"/>
    </xf>
    <xf borderId="0" fillId="5" fontId="2" numFmtId="165" xfId="0" applyAlignment="1" applyFill="1" applyFont="1" applyNumberFormat="1">
      <alignment vertical="top"/>
    </xf>
    <xf borderId="0" fillId="10" fontId="16" numFmtId="0" xfId="0" applyAlignment="1" applyFill="1" applyFont="1">
      <alignment readingOrder="0" shrinkToFit="0" vertical="top" wrapText="1"/>
    </xf>
    <xf borderId="10" fillId="3" fontId="13" numFmtId="0" xfId="0" applyAlignment="1" applyBorder="1" applyFill="1" applyFont="1">
      <alignment horizontal="right" vertical="top"/>
    </xf>
    <xf borderId="7" fillId="3" fontId="13" numFmtId="0" xfId="0" applyAlignment="1" applyBorder="1" applyFill="1" applyFont="1">
      <alignment horizontal="right" vertical="top"/>
    </xf>
    <xf borderId="0" fillId="3" fontId="2" numFmtId="165" xfId="0" applyAlignment="1" applyFill="1" applyFont="1" applyNumberFormat="1">
      <alignment horizontal="right" vertical="top"/>
    </xf>
    <xf borderId="2" fillId="3" fontId="5" numFmtId="0" xfId="0" applyBorder="1" applyFill="1" applyFont="1"/>
    <xf borderId="2" fillId="8" fontId="17" numFmtId="0" xfId="0" applyAlignment="1" applyBorder="1" applyFill="1" applyFont="1">
      <alignment horizontal="center" readingOrder="0" vertical="top"/>
    </xf>
    <xf borderId="2" fillId="3" fontId="2" numFmtId="165" xfId="0" applyAlignment="1" applyBorder="1" applyFill="1" applyFont="1" applyNumberFormat="1">
      <alignment horizontal="left" vertical="top"/>
    </xf>
    <xf borderId="0" fillId="3" fontId="13" numFmtId="165" xfId="0" applyAlignment="1" applyFill="1" applyFont="1" applyNumberFormat="1">
      <alignment horizontal="left" shrinkToFit="0" textRotation="0" vertical="top" wrapText="0"/>
    </xf>
    <xf borderId="10" fillId="11" fontId="2" numFmtId="0" xfId="0" applyAlignment="1" applyBorder="1" applyFill="1" applyFont="1">
      <alignment horizontal="right" vertical="top"/>
    </xf>
    <xf borderId="2" fillId="11" fontId="2" numFmtId="0" xfId="0" applyAlignment="1" applyBorder="1" applyFill="1" applyFont="1">
      <alignment horizontal="right" vertical="top"/>
    </xf>
    <xf borderId="0" fillId="11" fontId="2" numFmtId="165" xfId="0" applyAlignment="1" applyFill="1" applyFont="1" applyNumberFormat="1">
      <alignment horizontal="right" vertical="top"/>
    </xf>
    <xf borderId="2" fillId="11" fontId="5" numFmtId="0" xfId="0" applyBorder="1" applyFill="1" applyFont="1"/>
    <xf borderId="2" fillId="8" fontId="13" numFmtId="0" xfId="0" applyAlignment="1" applyBorder="1" applyFill="1" applyFont="1">
      <alignment horizontal="center" readingOrder="0" vertical="top"/>
    </xf>
    <xf borderId="0" fillId="11" fontId="2" numFmtId="165" xfId="0" applyAlignment="1" applyFill="1" applyFont="1" applyNumberFormat="1">
      <alignment horizontal="left" vertical="top"/>
    </xf>
    <xf borderId="10" fillId="11" fontId="13" numFmtId="165" xfId="0" applyAlignment="1" applyBorder="1" applyFill="1" applyFont="1" applyNumberFormat="1">
      <alignment horizontal="left" vertical="top"/>
    </xf>
    <xf borderId="0" fillId="11" fontId="18" numFmtId="166" xfId="0" applyAlignment="1" applyFill="1" applyFont="1" applyNumberFormat="1">
      <alignment horizontal="left" readingOrder="0" vertical="top"/>
    </xf>
    <xf borderId="0" fillId="5" fontId="2" numFmtId="0" xfId="0" applyAlignment="1" applyFill="1" applyFont="1">
      <alignment readingOrder="0" shrinkToFit="0" vertical="top" wrapText="0"/>
    </xf>
    <xf borderId="0" fillId="0" fontId="2" numFmtId="0" xfId="0" applyAlignment="1" applyFont="1">
      <alignment vertical="top"/>
    </xf>
    <xf borderId="10" fillId="6" fontId="2" numFmtId="0" xfId="0" applyAlignment="1" applyBorder="1" applyFill="1" applyFont="1">
      <alignment vertical="top"/>
    </xf>
    <xf borderId="0" fillId="5" fontId="19" numFmtId="0" xfId="0" applyAlignment="1" applyFill="1" applyFont="1">
      <alignment shrinkToFit="0" vertical="top" wrapText="0"/>
    </xf>
    <xf borderId="10" fillId="3" fontId="2" numFmtId="0" xfId="0" applyAlignment="1" applyBorder="1" applyFill="1" applyFont="1">
      <alignment horizontal="right" vertical="top"/>
    </xf>
    <xf borderId="2" fillId="3" fontId="2" numFmtId="0" xfId="0" applyAlignment="1" applyBorder="1" applyFill="1" applyFont="1">
      <alignment horizontal="right" vertical="top"/>
    </xf>
    <xf borderId="0" fillId="3" fontId="2" numFmtId="165" xfId="0" applyAlignment="1" applyFill="1" applyFont="1" applyNumberFormat="1">
      <alignment horizontal="left" vertical="top"/>
    </xf>
    <xf borderId="0" fillId="0" fontId="1" numFmtId="164" xfId="0" applyAlignment="1" applyFont="1" applyNumberFormat="1">
      <alignment readingOrder="0" vertical="bottom"/>
    </xf>
    <xf borderId="10" fillId="3" fontId="13" numFmtId="165" xfId="0" applyAlignment="1" applyBorder="1" applyFill="1" applyFont="1" applyNumberFormat="1">
      <alignment horizontal="left" vertical="top"/>
    </xf>
    <xf borderId="0" fillId="3" fontId="18" numFmtId="166" xfId="0" applyAlignment="1" applyFill="1" applyFont="1" applyNumberFormat="1">
      <alignment horizontal="left" readingOrder="0" vertical="top"/>
    </xf>
    <xf borderId="0" fillId="0" fontId="8" numFmtId="165" xfId="0" applyFont="1" applyNumberFormat="1"/>
    <xf borderId="6" fillId="0" fontId="2" numFmtId="0" xfId="0" applyAlignment="1" applyBorder="1" applyFont="1">
      <alignment readingOrder="0" vertical="top"/>
    </xf>
    <xf borderId="6" fillId="0" fontId="5" numFmtId="0" xfId="0" applyBorder="1" applyFont="1"/>
    <xf borderId="0" fillId="0" fontId="9" numFmtId="165" xfId="0" applyFont="1" applyNumberFormat="1"/>
    <xf borderId="10" fillId="11" fontId="2" numFmtId="0" xfId="0" applyAlignment="1" applyBorder="1" applyFill="1" applyFont="1">
      <alignment horizontal="right" readingOrder="0" vertical="top"/>
    </xf>
    <xf borderId="0" fillId="0" fontId="9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165" xfId="0" applyAlignment="1" applyFont="1" applyNumberFormat="1">
      <alignment horizontal="center" readingOrder="0"/>
    </xf>
    <xf borderId="0" fillId="11" fontId="18" numFmtId="166" xfId="0" applyAlignment="1" applyFill="1" applyFont="1" applyNumberFormat="1">
      <alignment horizontal="left" vertical="top"/>
    </xf>
    <xf borderId="0" fillId="4" fontId="2" numFmtId="0" xfId="0" applyAlignment="1" applyFill="1" applyFont="1">
      <alignment vertical="top"/>
    </xf>
    <xf borderId="2" fillId="4" fontId="2" numFmtId="0" xfId="0" applyAlignment="1" applyBorder="1" applyFill="1" applyFont="1">
      <alignment vertical="top"/>
    </xf>
    <xf borderId="10" fillId="12" fontId="2" numFmtId="0" xfId="0" applyAlignment="1" applyBorder="1" applyFill="1" applyFont="1">
      <alignment vertical="top"/>
    </xf>
    <xf borderId="0" fillId="12" fontId="2" numFmtId="0" xfId="0" applyAlignment="1" applyFill="1" applyFont="1">
      <alignment vertical="top"/>
    </xf>
    <xf borderId="2" fillId="12" fontId="2" numFmtId="0" xfId="0" applyAlignment="1" applyBorder="1" applyFill="1" applyFont="1">
      <alignment vertical="top"/>
    </xf>
    <xf borderId="10" fillId="3" fontId="2" numFmtId="0" xfId="0" applyAlignment="1" applyBorder="1" applyFill="1" applyFont="1">
      <alignment horizontal="right" readingOrder="0" vertical="top"/>
    </xf>
    <xf borderId="0" fillId="3" fontId="18" numFmtId="166" xfId="0" applyAlignment="1" applyFill="1" applyFont="1" applyNumberFormat="1">
      <alignment horizontal="left" vertical="top"/>
    </xf>
    <xf borderId="0" fillId="8" fontId="2" numFmtId="0" xfId="0" applyAlignment="1" applyFill="1" applyFont="1">
      <alignment readingOrder="0" vertical="top"/>
    </xf>
    <xf borderId="10" fillId="3" fontId="2" numFmtId="0" xfId="0" applyAlignment="1" applyBorder="1" applyFill="1" applyFont="1">
      <alignment vertical="top"/>
    </xf>
    <xf borderId="2" fillId="3" fontId="2" numFmtId="0" xfId="0" applyAlignment="1" applyBorder="1" applyFill="1" applyFont="1">
      <alignment vertical="top"/>
    </xf>
    <xf borderId="2" fillId="3" fontId="2" numFmtId="0" xfId="0" applyAlignment="1" applyBorder="1" applyFill="1" applyFont="1">
      <alignment vertical="top"/>
    </xf>
    <xf borderId="10" fillId="3" fontId="2" numFmtId="165" xfId="0" applyAlignment="1" applyBorder="1" applyFill="1" applyFont="1" applyNumberFormat="1">
      <alignment horizontal="left" vertical="top"/>
    </xf>
    <xf borderId="0" fillId="3" fontId="13" numFmtId="166" xfId="0" applyAlignment="1" applyFill="1" applyFont="1" applyNumberFormat="1">
      <alignment horizontal="left" vertical="top"/>
    </xf>
    <xf borderId="10" fillId="11" fontId="13" numFmtId="0" xfId="0" applyAlignment="1" applyBorder="1" applyFill="1" applyFont="1">
      <alignment horizontal="right" vertical="top"/>
    </xf>
    <xf borderId="2" fillId="11" fontId="13" numFmtId="0" xfId="0" applyAlignment="1" applyBorder="1" applyFill="1" applyFont="1">
      <alignment horizontal="right" vertical="top"/>
    </xf>
    <xf borderId="2" fillId="11" fontId="2" numFmtId="165" xfId="0" applyAlignment="1" applyBorder="1" applyFill="1" applyFont="1" applyNumberFormat="1">
      <alignment horizontal="left" vertical="top"/>
    </xf>
    <xf borderId="0" fillId="11" fontId="13" numFmtId="165" xfId="0" applyAlignment="1" applyFill="1" applyFont="1" applyNumberFormat="1">
      <alignment horizontal="left" shrinkToFit="0" textRotation="0" vertical="top" wrapText="0"/>
    </xf>
    <xf borderId="0" fillId="2" fontId="2" numFmtId="0" xfId="0" applyAlignment="1" applyFill="1" applyFont="1">
      <alignment horizontal="right" readingOrder="0" vertical="top"/>
    </xf>
    <xf borderId="0" fillId="5" fontId="2" numFmtId="165" xfId="0" applyAlignment="1" applyFill="1" applyFont="1" applyNumberFormat="1">
      <alignment horizontal="left" vertical="top"/>
    </xf>
    <xf borderId="0" fillId="5" fontId="2" numFmtId="166" xfId="0" applyAlignment="1" applyFill="1" applyFont="1" applyNumberFormat="1">
      <alignment horizontal="left" vertical="top"/>
    </xf>
    <xf borderId="0" fillId="3" fontId="13" numFmtId="165" xfId="0" applyAlignment="1" applyFill="1" applyFont="1" applyNumberFormat="1">
      <alignment horizontal="left" vertical="top"/>
    </xf>
    <xf borderId="0" fillId="0" fontId="8" numFmtId="165" xfId="0" applyAlignment="1" applyFont="1" applyNumberFormat="1">
      <alignment horizontal="center" readingOrder="0" vertical="center"/>
    </xf>
    <xf borderId="0" fillId="11" fontId="13" numFmtId="165" xfId="0" applyAlignment="1" applyFill="1" applyFont="1" applyNumberFormat="1">
      <alignment horizontal="left" vertical="top"/>
    </xf>
    <xf borderId="0" fillId="5" fontId="20" numFmtId="0" xfId="0" applyAlignment="1" applyFill="1" applyFont="1">
      <alignment readingOrder="0" vertical="top"/>
    </xf>
    <xf borderId="0" fillId="5" fontId="2" numFmtId="0" xfId="0" applyAlignment="1" applyFill="1" applyFont="1">
      <alignment horizontal="right" vertical="top"/>
    </xf>
    <xf borderId="1" fillId="6" fontId="2" numFmtId="0" xfId="0" applyAlignment="1" applyBorder="1" applyFill="1" applyFont="1">
      <alignment vertical="top"/>
    </xf>
    <xf borderId="1" fillId="6" fontId="2" numFmtId="0" xfId="0" applyAlignment="1" applyBorder="1" applyFill="1" applyFont="1">
      <alignment horizontal="center" vertical="top"/>
    </xf>
    <xf borderId="3" fillId="6" fontId="2" numFmtId="0" xfId="0" applyAlignment="1" applyBorder="1" applyFill="1" applyFont="1">
      <alignment vertical="top"/>
    </xf>
    <xf borderId="0" fillId="5" fontId="2" numFmtId="167" xfId="0" applyAlignment="1" applyFill="1" applyFont="1" applyNumberFormat="1">
      <alignment horizontal="left" vertical="top"/>
    </xf>
    <xf borderId="0" fillId="11" fontId="18" numFmtId="167" xfId="0" applyAlignment="1" applyFill="1" applyFont="1" applyNumberFormat="1">
      <alignment horizontal="left" readingOrder="0" vertical="top"/>
    </xf>
    <xf borderId="1" fillId="0" fontId="2" numFmtId="0" xfId="0" applyAlignment="1" applyBorder="1" applyFont="1">
      <alignment vertical="top"/>
    </xf>
    <xf borderId="0" fillId="13" fontId="2" numFmtId="0" xfId="0" applyAlignment="1" applyFill="1" applyFont="1">
      <alignment vertical="top"/>
    </xf>
    <xf borderId="0" fillId="14" fontId="2" numFmtId="0" xfId="0" applyAlignment="1" applyFill="1" applyFont="1">
      <alignment vertical="top"/>
    </xf>
    <xf borderId="0" fillId="15" fontId="2" numFmtId="0" xfId="0" applyAlignment="1" applyFill="1" applyFont="1">
      <alignment vertical="top"/>
    </xf>
    <xf borderId="2" fillId="15" fontId="2" numFmtId="0" xfId="0" applyAlignment="1" applyBorder="1" applyFill="1" applyFont="1">
      <alignment vertical="top"/>
    </xf>
    <xf borderId="0" fillId="11" fontId="2" numFmtId="165" xfId="0" applyAlignment="1" applyFill="1" applyFont="1" applyNumberFormat="1">
      <alignment vertical="top"/>
    </xf>
    <xf borderId="0" fillId="3" fontId="2" numFmtId="165" xfId="0" applyAlignment="1" applyFill="1" applyFont="1" applyNumberFormat="1">
      <alignment vertical="top"/>
    </xf>
    <xf borderId="2" fillId="3" fontId="2" numFmtId="165" xfId="0" applyAlignment="1" applyBorder="1" applyFill="1" applyFont="1" applyNumberFormat="1">
      <alignment vertical="top"/>
    </xf>
    <xf borderId="0" fillId="3" fontId="2" numFmtId="166" xfId="0" applyAlignment="1" applyFill="1" applyFont="1" applyNumberFormat="1">
      <alignment vertical="top"/>
    </xf>
    <xf borderId="10" fillId="4" fontId="2" numFmtId="0" xfId="0" applyAlignment="1" applyBorder="1" applyFill="1" applyFont="1">
      <alignment vertical="top"/>
    </xf>
    <xf borderId="0" fillId="5" fontId="2" numFmtId="164" xfId="0" applyAlignment="1" applyFill="1" applyFont="1" applyNumberFormat="1">
      <alignment vertical="top"/>
    </xf>
    <xf borderId="0" fillId="3" fontId="13" numFmtId="165" xfId="0" applyAlignment="1" applyFill="1" applyFont="1" applyNumberFormat="1">
      <alignment horizontal="left" readingOrder="0" vertical="top"/>
    </xf>
    <xf borderId="0" fillId="3" fontId="18" numFmtId="167" xfId="0" applyAlignment="1" applyFill="1" applyFont="1" applyNumberFormat="1">
      <alignment horizontal="left" readingOrder="0" vertical="top"/>
    </xf>
    <xf borderId="2" fillId="14" fontId="2" numFmtId="0" xfId="0" applyAlignment="1" applyBorder="1" applyFill="1" applyFont="1">
      <alignment vertical="top"/>
    </xf>
    <xf borderId="0" fillId="11" fontId="13" numFmtId="165" xfId="0" applyAlignment="1" applyFill="1" applyFont="1" applyNumberFormat="1">
      <alignment horizontal="left" readingOrder="0" vertical="top"/>
    </xf>
    <xf borderId="0" fillId="3" fontId="18" numFmtId="166" xfId="0" applyAlignment="1" applyFill="1" applyFont="1" applyNumberFormat="1">
      <alignment horizontal="left" readingOrder="0"/>
    </xf>
    <xf borderId="1" fillId="4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horizontal="center" vertical="top"/>
    </xf>
    <xf borderId="3" fillId="4" fontId="2" numFmtId="0" xfId="0" applyAlignment="1" applyBorder="1" applyFill="1" applyFont="1">
      <alignment vertical="top"/>
    </xf>
    <xf borderId="1" fillId="12" fontId="2" numFmtId="0" xfId="0" applyAlignment="1" applyBorder="1" applyFill="1" applyFont="1">
      <alignment vertical="top"/>
    </xf>
    <xf borderId="1" fillId="12" fontId="2" numFmtId="0" xfId="0" applyAlignment="1" applyBorder="1" applyFill="1" applyFont="1">
      <alignment horizontal="center" vertical="top"/>
    </xf>
    <xf borderId="3" fillId="12" fontId="2" numFmtId="0" xfId="0" applyAlignment="1" applyBorder="1" applyFill="1" applyFont="1">
      <alignment vertical="top"/>
    </xf>
    <xf borderId="0" fillId="11" fontId="18" numFmtId="166" xfId="0" applyAlignment="1" applyFill="1" applyFont="1" applyNumberFormat="1">
      <alignment horizontal="left"/>
    </xf>
    <xf borderId="0" fillId="5" fontId="3" numFmtId="166" xfId="0" applyAlignment="1" applyFill="1" applyFont="1" applyNumberFormat="1">
      <alignment horizontal="left" vertical="top"/>
    </xf>
    <xf borderId="0" fillId="3" fontId="18" numFmtId="166" xfId="0" applyAlignment="1" applyFill="1" applyFont="1" applyNumberFormat="1">
      <alignment horizontal="left"/>
    </xf>
    <xf borderId="2" fillId="13" fontId="2" numFmtId="0" xfId="0" applyAlignment="1" applyBorder="1" applyFill="1" applyFont="1">
      <alignment vertical="top"/>
    </xf>
    <xf borderId="0" fillId="16" fontId="2" numFmtId="0" xfId="0" applyAlignment="1" applyFill="1" applyFont="1">
      <alignment vertical="top"/>
    </xf>
    <xf borderId="2" fillId="16" fontId="2" numFmtId="0" xfId="0" applyAlignment="1" applyBorder="1" applyFill="1" applyFont="1">
      <alignment vertical="top"/>
    </xf>
    <xf borderId="10" fillId="3" fontId="2" numFmtId="0" xfId="0" applyAlignment="1" applyBorder="1" applyFill="1" applyFont="1">
      <alignment vertical="top"/>
    </xf>
    <xf borderId="10" fillId="3" fontId="2" numFmtId="165" xfId="0" applyAlignment="1" applyBorder="1" applyFill="1" applyFont="1" applyNumberFormat="1">
      <alignment horizontal="right" vertical="top"/>
    </xf>
    <xf borderId="11" fillId="3" fontId="2" numFmtId="165" xfId="0" applyAlignment="1" applyBorder="1" applyFill="1" applyFont="1" applyNumberFormat="1">
      <alignment horizontal="left" vertical="top"/>
    </xf>
    <xf borderId="0" fillId="3" fontId="2" numFmtId="166" xfId="0" applyAlignment="1" applyFill="1" applyFont="1" applyNumberFormat="1">
      <alignment horizontal="left" vertical="top"/>
    </xf>
    <xf borderId="0" fillId="5" fontId="2" numFmtId="0" xfId="0" applyAlignment="1" applyFill="1" applyFont="1">
      <alignment readingOrder="0" vertical="top"/>
    </xf>
    <xf borderId="0" fillId="5" fontId="2" numFmtId="166" xfId="0" applyAlignment="1" applyFill="1" applyFont="1" applyNumberFormat="1">
      <alignment vertical="top"/>
    </xf>
    <xf borderId="0" fillId="11" fontId="17" numFmtId="165" xfId="0" applyAlignment="1" applyFill="1" applyFont="1" applyNumberFormat="1">
      <alignment horizontal="left" shrinkToFit="0" textRotation="0" vertical="top" wrapText="0"/>
    </xf>
    <xf borderId="0" fillId="5" fontId="2" numFmtId="167" xfId="0" applyAlignment="1" applyFill="1" applyFont="1" applyNumberFormat="1">
      <alignment horizontal="left" vertical="top"/>
    </xf>
    <xf borderId="0" fillId="5" fontId="2" numFmtId="0" xfId="0" applyAlignment="1" applyFill="1" applyFont="1">
      <alignment horizontal="center" vertical="top"/>
    </xf>
    <xf borderId="1" fillId="15" fontId="2" numFmtId="0" xfId="0" applyAlignment="1" applyBorder="1" applyFill="1" applyFont="1">
      <alignment vertical="top"/>
    </xf>
    <xf borderId="1" fillId="14" fontId="2" numFmtId="0" xfId="0" applyAlignment="1" applyBorder="1" applyFill="1" applyFont="1">
      <alignment vertical="top"/>
    </xf>
    <xf borderId="1" fillId="13" fontId="2" numFmtId="0" xfId="0" applyAlignment="1" applyBorder="1" applyFill="1" applyFont="1">
      <alignment vertical="top"/>
    </xf>
    <xf borderId="3" fillId="13" fontId="2" numFmtId="0" xfId="0" applyAlignment="1" applyBorder="1" applyFill="1" applyFont="1">
      <alignment vertical="top"/>
    </xf>
    <xf borderId="10" fillId="11" fontId="2" numFmtId="0" xfId="0" applyBorder="1" applyFill="1" applyFont="1"/>
    <xf borderId="0" fillId="11" fontId="2" numFmtId="0" xfId="0" applyFill="1" applyFont="1"/>
    <xf borderId="11" fillId="11" fontId="2" numFmtId="0" xfId="0" applyBorder="1" applyFill="1" applyFont="1"/>
    <xf borderId="2" fillId="3" fontId="13" numFmtId="0" xfId="0" applyAlignment="1" applyBorder="1" applyFill="1" applyFont="1">
      <alignment horizontal="right" vertical="top"/>
    </xf>
    <xf borderId="0" fillId="5" fontId="2" numFmtId="166" xfId="0" applyAlignment="1" applyFill="1" applyFont="1" applyNumberFormat="1">
      <alignment horizontal="left" readingOrder="0" vertical="top"/>
    </xf>
    <xf borderId="2" fillId="11" fontId="2" numFmtId="0" xfId="0" applyAlignment="1" applyBorder="1" applyFill="1" applyFont="1">
      <alignment vertical="top"/>
    </xf>
    <xf borderId="0" fillId="11" fontId="2" numFmtId="0" xfId="0" applyAlignment="1" applyFill="1" applyFont="1">
      <alignment vertical="top"/>
    </xf>
    <xf borderId="10" fillId="11" fontId="2" numFmtId="165" xfId="0" applyAlignment="1" applyBorder="1" applyFill="1" applyFont="1" applyNumberFormat="1">
      <alignment horizontal="right" vertical="top"/>
    </xf>
    <xf borderId="11" fillId="8" fontId="13" numFmtId="0" xfId="0" applyAlignment="1" applyBorder="1" applyFill="1" applyFont="1">
      <alignment horizontal="center" readingOrder="0" vertical="top"/>
    </xf>
    <xf borderId="11" fillId="11" fontId="2" numFmtId="165" xfId="0" applyAlignment="1" applyBorder="1" applyFill="1" applyFont="1" applyNumberFormat="1">
      <alignment horizontal="left" vertical="top"/>
    </xf>
    <xf borderId="1" fillId="13" fontId="2" numFmtId="0" xfId="0" applyAlignment="1" applyBorder="1" applyFill="1" applyFont="1">
      <alignment horizontal="center" vertical="top"/>
    </xf>
    <xf borderId="10" fillId="16" fontId="2" numFmtId="0" xfId="0" applyAlignment="1" applyBorder="1" applyFill="1" applyFont="1">
      <alignment vertical="top"/>
    </xf>
    <xf borderId="1" fillId="16" fontId="2" numFmtId="0" xfId="0" applyAlignment="1" applyBorder="1" applyFill="1" applyFont="1">
      <alignment vertical="top"/>
    </xf>
    <xf borderId="1" fillId="16" fontId="2" numFmtId="0" xfId="0" applyAlignment="1" applyBorder="1" applyFill="1" applyFont="1">
      <alignment horizontal="center" vertical="top"/>
    </xf>
    <xf borderId="3" fillId="16" fontId="2" numFmtId="0" xfId="0" applyAlignment="1" applyBorder="1" applyFill="1" applyFont="1">
      <alignment vertical="top"/>
    </xf>
    <xf borderId="0" fillId="3" fontId="2" numFmtId="0" xfId="0" applyAlignment="1" applyFill="1" applyFont="1">
      <alignment vertical="top"/>
    </xf>
    <xf borderId="0" fillId="3" fontId="2" numFmtId="0" xfId="0" applyAlignment="1" applyFill="1" applyFont="1">
      <alignment horizontal="right" vertical="top"/>
    </xf>
    <xf borderId="11" fillId="3" fontId="2" numFmtId="0" xfId="0" applyAlignment="1" applyBorder="1" applyFill="1" applyFont="1">
      <alignment vertical="top"/>
    </xf>
    <xf borderId="10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10" fillId="11" fontId="13" numFmtId="0" xfId="0" applyAlignment="1" applyBorder="1" applyFill="1" applyFont="1">
      <alignment horizontal="right" readingOrder="0" vertical="top"/>
    </xf>
    <xf borderId="11" fillId="8" fontId="17" numFmtId="0" xfId="0" applyAlignment="1" applyBorder="1" applyFill="1" applyFont="1">
      <alignment horizontal="center" readingOrder="0" vertical="top"/>
    </xf>
    <xf borderId="0" fillId="5" fontId="7" numFmtId="0" xfId="0" applyAlignment="1" applyFill="1" applyFont="1">
      <alignment vertical="top"/>
    </xf>
    <xf borderId="5" fillId="3" fontId="2" numFmtId="0" xfId="0" applyAlignment="1" applyBorder="1" applyFill="1" applyFont="1">
      <alignment vertical="top"/>
    </xf>
    <xf borderId="12" fillId="0" fontId="5" numFmtId="0" xfId="0" applyBorder="1" applyFont="1"/>
    <xf borderId="12" fillId="3" fontId="13" numFmtId="49" xfId="0" applyAlignment="1" applyBorder="1" applyFill="1" applyFont="1" applyNumberFormat="1">
      <alignment horizontal="center" vertical="top"/>
    </xf>
    <xf borderId="7" fillId="0" fontId="5" numFmtId="0" xfId="0" applyBorder="1" applyFont="1"/>
    <xf borderId="1" fillId="5" fontId="2" numFmtId="0" xfId="0" applyAlignment="1" applyBorder="1" applyFill="1" applyFont="1">
      <alignment vertical="top"/>
    </xf>
    <xf borderId="0" fillId="8" fontId="2" numFmtId="1" xfId="0" applyAlignment="1" applyFill="1" applyFont="1" applyNumberFormat="1">
      <alignment readingOrder="0" vertical="top"/>
    </xf>
    <xf borderId="0" fillId="3" fontId="21" numFmtId="0" xfId="0" applyAlignment="1" applyFill="1" applyFont="1">
      <alignment vertical="top"/>
    </xf>
    <xf borderId="0" fillId="5" fontId="2" numFmtId="0" xfId="0" applyFill="1" applyFont="1"/>
    <xf borderId="0" fillId="5" fontId="2" numFmtId="0" xfId="0" applyAlignment="1" applyFill="1" applyFont="1">
      <alignment horizontal="right" readingOrder="0"/>
    </xf>
    <xf borderId="0" fillId="8" fontId="2" numFmtId="0" xfId="0" applyAlignment="1" applyFill="1" applyFont="1">
      <alignment horizontal="right" readingOrder="0"/>
    </xf>
    <xf borderId="1" fillId="3" fontId="22" numFmtId="0" xfId="0" applyAlignment="1" applyBorder="1" applyFill="1" applyFont="1">
      <alignment vertical="top"/>
    </xf>
    <xf borderId="0" fillId="5" fontId="2" numFmtId="0" xfId="0" applyAlignment="1" applyFill="1" applyFont="1">
      <alignment horizontal="right" readingOrder="0" vertical="top"/>
    </xf>
    <xf borderId="0" fillId="5" fontId="23" numFmtId="0" xfId="0" applyAlignment="1" applyFill="1" applyFont="1">
      <alignment readingOrder="0" shrinkToFit="0" vertical="top" wrapText="1"/>
    </xf>
    <xf borderId="0" fillId="5" fontId="23" numFmtId="0" xfId="0" applyAlignment="1" applyFill="1" applyFont="1">
      <alignment readingOrder="0" vertical="top"/>
    </xf>
    <xf borderId="0" fillId="5" fontId="7" numFmtId="0" xfId="0" applyAlignment="1" applyFill="1" applyFont="1">
      <alignment horizontal="right" readingOrder="0" vertical="top"/>
    </xf>
    <xf borderId="0" fillId="5" fontId="3" numFmtId="0" xfId="0" applyAlignment="1" applyFill="1" applyFont="1">
      <alignment readingOrder="0" shrinkToFit="0" vertical="top" wrapText="1"/>
    </xf>
    <xf borderId="0" fillId="8" fontId="3" numFmtId="0" xfId="0" applyAlignment="1" applyFill="1" applyFont="1">
      <alignment readingOrder="0" shrinkToFit="0" vertical="top" wrapText="1"/>
    </xf>
    <xf borderId="1" fillId="15" fontId="2" numFmtId="0" xfId="0" applyAlignment="1" applyBorder="1" applyFill="1" applyFont="1">
      <alignment horizontal="center" vertical="top"/>
    </xf>
    <xf borderId="3" fillId="15" fontId="2" numFmtId="0" xfId="0" applyAlignment="1" applyBorder="1" applyFill="1" applyFont="1">
      <alignment vertical="top"/>
    </xf>
    <xf borderId="9" fillId="0" fontId="24" numFmtId="0" xfId="0" applyAlignment="1" applyBorder="1" applyFont="1">
      <alignment horizontal="center" readingOrder="0" vertical="top"/>
    </xf>
    <xf borderId="0" fillId="5" fontId="13" numFmtId="0" xfId="0" applyAlignment="1" applyFill="1" applyFont="1">
      <alignment horizontal="right" readingOrder="0" vertical="top"/>
    </xf>
    <xf borderId="0" fillId="5" fontId="13" numFmtId="0" xfId="0" applyAlignment="1" applyFill="1" applyFont="1">
      <alignment vertical="top"/>
    </xf>
    <xf borderId="0" fillId="5" fontId="13" numFmtId="0" xfId="0" applyAlignment="1" applyFill="1" applyFont="1">
      <alignment readingOrder="0" vertical="top"/>
    </xf>
    <xf borderId="0" fillId="5" fontId="16" numFmtId="0" xfId="0" applyAlignment="1" applyFill="1" applyFont="1">
      <alignment readingOrder="0" shrinkToFit="0" vertical="top" wrapText="1"/>
    </xf>
    <xf borderId="0" fillId="5" fontId="3" numFmtId="0" xfId="0" applyAlignment="1" applyFill="1" applyFont="1">
      <alignment horizontal="right" readingOrder="0" vertical="top"/>
    </xf>
    <xf borderId="0" fillId="8" fontId="3" numFmtId="0" xfId="0" applyAlignment="1" applyFill="1" applyFont="1">
      <alignment horizontal="center" readingOrder="0" vertical="top"/>
    </xf>
    <xf borderId="0" fillId="5" fontId="3" numFmtId="0" xfId="0" applyAlignment="1" applyFill="1" applyFont="1">
      <alignment horizontal="center" readingOrder="0" shrinkToFit="0" vertical="top" wrapText="1"/>
    </xf>
    <xf borderId="0" fillId="8" fontId="3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vertical="top"/>
    </xf>
    <xf borderId="8" fillId="11" fontId="25" numFmtId="0" xfId="0" applyAlignment="1" applyBorder="1" applyFill="1" applyFont="1">
      <alignment horizontal="center" readingOrder="0" vertical="top"/>
    </xf>
    <xf borderId="6" fillId="11" fontId="5" numFmtId="0" xfId="0" applyBorder="1" applyFill="1" applyFont="1"/>
    <xf borderId="13" fillId="11" fontId="5" numFmtId="0" xfId="0" applyBorder="1" applyFill="1" applyFont="1"/>
    <xf borderId="0" fillId="3" fontId="26" numFmtId="0" xfId="0" applyAlignment="1" applyFill="1" applyFont="1">
      <alignment shrinkToFit="0" vertical="top" wrapText="1"/>
    </xf>
    <xf borderId="5" fillId="9" fontId="13" numFmtId="0" xfId="0" applyAlignment="1" applyBorder="1" applyFill="1" applyFont="1">
      <alignment horizontal="center" readingOrder="0" vertical="top"/>
    </xf>
    <xf borderId="12" fillId="9" fontId="5" numFmtId="0" xfId="0" applyBorder="1" applyFill="1" applyFont="1"/>
    <xf borderId="7" fillId="9" fontId="5" numFmtId="0" xfId="0" applyBorder="1" applyFill="1" applyFont="1"/>
    <xf borderId="0" fillId="5" fontId="3" numFmtId="0" xfId="0" applyAlignment="1" applyFill="1" applyFont="1">
      <alignment vertical="top"/>
    </xf>
    <xf borderId="0" fillId="5" fontId="3" numFmtId="0" xfId="0" applyAlignment="1" applyFill="1" applyFont="1">
      <alignment horizontal="center" vertical="top"/>
    </xf>
    <xf borderId="5" fillId="3" fontId="13" numFmtId="0" xfId="0" applyAlignment="1" applyBorder="1" applyFill="1" applyFont="1">
      <alignment horizontal="center" readingOrder="0" vertical="top"/>
    </xf>
    <xf borderId="12" fillId="3" fontId="5" numFmtId="0" xfId="0" applyBorder="1" applyFill="1" applyFont="1"/>
    <xf borderId="12" fillId="3" fontId="13" numFmtId="0" xfId="0" applyAlignment="1" applyBorder="1" applyFill="1" applyFont="1">
      <alignment horizontal="center" readingOrder="0" vertical="top"/>
    </xf>
    <xf borderId="12" fillId="3" fontId="13" numFmtId="0" xfId="0" applyAlignment="1" applyBorder="1" applyFill="1" applyFont="1">
      <alignment vertical="top"/>
    </xf>
    <xf borderId="7" fillId="3" fontId="5" numFmtId="0" xfId="0" applyBorder="1" applyFill="1" applyFont="1"/>
    <xf borderId="0" fillId="8" fontId="2" numFmtId="0" xfId="0" applyAlignment="1" applyFill="1" applyFont="1">
      <alignment horizontal="center" readingOrder="0" vertical="top"/>
    </xf>
    <xf borderId="0" fillId="5" fontId="2" numFmtId="0" xfId="0" applyAlignment="1" applyFill="1" applyFont="1">
      <alignment horizontal="center" vertical="top"/>
    </xf>
    <xf borderId="10" fillId="11" fontId="13" numFmtId="0" xfId="0" applyAlignment="1" applyBorder="1" applyFill="1" applyFont="1">
      <alignment readingOrder="0" vertical="top"/>
    </xf>
    <xf borderId="0" fillId="11" fontId="20" numFmtId="0" xfId="0" applyAlignment="1" applyFill="1" applyFont="1">
      <alignment readingOrder="0" vertical="top"/>
    </xf>
    <xf borderId="0" fillId="11" fontId="2" numFmtId="165" xfId="0" applyAlignment="1" applyFill="1" applyFont="1" applyNumberFormat="1">
      <alignment horizontal="left" readingOrder="0" vertical="top"/>
    </xf>
    <xf borderId="0" fillId="11" fontId="13" numFmtId="0" xfId="0" applyAlignment="1" applyFill="1" applyFont="1">
      <alignment readingOrder="0" vertical="top"/>
    </xf>
    <xf borderId="10" fillId="3" fontId="13" numFmtId="0" xfId="0" applyAlignment="1" applyBorder="1" applyFill="1" applyFont="1">
      <alignment readingOrder="0" vertical="top"/>
    </xf>
    <xf borderId="0" fillId="3" fontId="20" numFmtId="0" xfId="0" applyAlignment="1" applyFill="1" applyFont="1">
      <alignment readingOrder="0" vertical="top"/>
    </xf>
    <xf borderId="0" fillId="3" fontId="2" numFmtId="165" xfId="0" applyAlignment="1" applyFill="1" applyFont="1" applyNumberFormat="1">
      <alignment horizontal="left" readingOrder="0" vertical="top"/>
    </xf>
    <xf borderId="0" fillId="3" fontId="13" numFmtId="0" xfId="0" applyAlignment="1" applyFill="1" applyFont="1">
      <alignment readingOrder="0" vertical="top"/>
    </xf>
    <xf borderId="0" fillId="5" fontId="27" numFmtId="0" xfId="0" applyAlignment="1" applyFill="1" applyFont="1">
      <alignment horizontal="center" readingOrder="0" vertical="top"/>
    </xf>
    <xf borderId="0" fillId="5" fontId="28" numFmtId="0" xfId="0" applyAlignment="1" applyFill="1" applyFont="1">
      <alignment horizontal="center" readingOrder="0" shrinkToFit="0" vertical="top" wrapText="1"/>
    </xf>
    <xf borderId="10" fillId="11" fontId="13" numFmtId="0" xfId="0" applyAlignment="1" applyBorder="1" applyFill="1" applyFont="1">
      <alignment horizontal="center" readingOrder="0" vertical="top"/>
    </xf>
    <xf borderId="0" fillId="11" fontId="13" numFmtId="0" xfId="0" applyAlignment="1" applyFill="1" applyFont="1">
      <alignment horizontal="center" readingOrder="0" vertical="top"/>
    </xf>
    <xf borderId="0" fillId="11" fontId="13" numFmtId="0" xfId="0" applyAlignment="1" applyFill="1" applyFont="1">
      <alignment vertical="top"/>
    </xf>
    <xf borderId="9" fillId="3" fontId="13" numFmtId="0" xfId="0" applyAlignment="1" applyBorder="1" applyFill="1" applyFont="1">
      <alignment readingOrder="0" vertical="top"/>
    </xf>
    <xf borderId="1" fillId="3" fontId="20" numFmtId="0" xfId="0" applyAlignment="1" applyBorder="1" applyFill="1" applyFont="1">
      <alignment readingOrder="0" vertical="top"/>
    </xf>
    <xf borderId="1" fillId="3" fontId="2" numFmtId="165" xfId="0" applyAlignment="1" applyBorder="1" applyFill="1" applyFont="1" applyNumberFormat="1">
      <alignment horizontal="left" readingOrder="0" vertical="top"/>
    </xf>
    <xf borderId="1" fillId="3" fontId="5" numFmtId="0" xfId="0" applyBorder="1" applyFill="1" applyFont="1"/>
    <xf borderId="1" fillId="3" fontId="13" numFmtId="0" xfId="0" applyAlignment="1" applyBorder="1" applyFill="1" applyFont="1">
      <alignment readingOrder="0" vertical="top"/>
    </xf>
    <xf borderId="1" fillId="3" fontId="2" numFmtId="0" xfId="0" applyAlignment="1" applyBorder="1" applyFill="1" applyFont="1">
      <alignment vertical="top"/>
    </xf>
    <xf borderId="3" fillId="3" fontId="5" numFmtId="0" xfId="0" applyBorder="1" applyFill="1" applyFont="1"/>
    <xf borderId="8" fillId="9" fontId="13" numFmtId="0" xfId="0" applyAlignment="1" applyBorder="1" applyFill="1" applyFont="1">
      <alignment horizontal="center" readingOrder="0" vertical="top"/>
    </xf>
    <xf borderId="13" fillId="9" fontId="5" numFmtId="0" xfId="0" applyBorder="1" applyFill="1" applyFont="1"/>
    <xf borderId="0" fillId="3" fontId="13" numFmtId="0" xfId="0" applyAlignment="1" applyFill="1" applyFont="1">
      <alignment horizontal="right" vertical="top"/>
    </xf>
    <xf borderId="10" fillId="11" fontId="2" numFmtId="0" xfId="0" applyAlignment="1" applyBorder="1" applyFill="1" applyFont="1">
      <alignment vertical="top"/>
    </xf>
    <xf borderId="9" fillId="17" fontId="13" numFmtId="0" xfId="0" applyAlignment="1" applyBorder="1" applyFill="1" applyFont="1">
      <alignment horizontal="right" vertical="top"/>
    </xf>
    <xf borderId="1" fillId="17" fontId="13" numFmtId="165" xfId="0" applyAlignment="1" applyBorder="1" applyFill="1" applyFont="1" applyNumberFormat="1">
      <alignment horizontal="left" vertical="top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990000"/>
      </font>
      <fill>
        <patternFill patternType="none"/>
      </fill>
      <border/>
    </dxf>
    <dxf>
      <font>
        <color rgb="FFA61C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1">
    <tableStyle count="3" pivot="0" name="Main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J68" displayName="Table_1" name="Table_1" id="1">
  <tableColumns count="1">
    <tableColumn name="Column1" id="1"/>
  </tableColumns>
  <tableStyleInfo name="Main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8pYKnByx0HZIapmNpmXy8eWuCsVg3D74nI79cSocUQ/copy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6" width="3.0"/>
    <col customWidth="1" min="67" max="67" width="9.13"/>
    <col customWidth="1" min="68" max="78" width="3.0"/>
    <col customWidth="1" min="79" max="79" width="3.25"/>
    <col customWidth="1" min="80" max="81" width="3.0"/>
  </cols>
  <sheetData>
    <row r="1">
      <c r="A1" s="53" t="s">
        <v>92</v>
      </c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7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</row>
    <row r="5">
      <c r="A5" s="58"/>
      <c r="B5" s="58"/>
      <c r="C5" s="58"/>
      <c r="D5" s="59" t="s">
        <v>101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60"/>
      <c r="S5" s="61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4"/>
      <c r="AI5" s="61"/>
      <c r="AJ5" s="58"/>
      <c r="AK5" s="65" t="s">
        <v>103</v>
      </c>
      <c r="AZ5" s="58"/>
      <c r="BA5" s="58"/>
      <c r="BB5" s="66" t="s">
        <v>104</v>
      </c>
      <c r="BJ5" s="65"/>
      <c r="BK5" s="67">
        <v>300000.0</v>
      </c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</row>
    <row r="6">
      <c r="A6" s="58"/>
      <c r="B6" s="58"/>
      <c r="C6" s="58"/>
      <c r="D6" s="59" t="s">
        <v>105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60"/>
      <c r="S6" s="61"/>
      <c r="T6" s="62"/>
      <c r="U6" s="58"/>
      <c r="V6" s="68" t="s">
        <v>107</v>
      </c>
      <c r="AG6" s="58"/>
      <c r="AH6" s="64"/>
      <c r="AI6" s="61"/>
      <c r="AJ6" s="58"/>
      <c r="AZ6" s="58"/>
      <c r="BA6" s="58"/>
      <c r="BB6" s="66" t="s">
        <v>108</v>
      </c>
      <c r="BJ6" s="65"/>
      <c r="BK6" s="67">
        <v>1000000.0</v>
      </c>
      <c r="BN6" s="69" t="s">
        <v>109</v>
      </c>
      <c r="BO6" s="65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</row>
    <row r="7">
      <c r="A7" s="58"/>
      <c r="B7" s="58"/>
      <c r="C7" s="58"/>
      <c r="D7" s="59" t="s">
        <v>110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60"/>
      <c r="S7" s="61"/>
      <c r="T7" s="62"/>
      <c r="U7" s="58"/>
      <c r="V7" s="58"/>
      <c r="W7" s="70" t="s">
        <v>111</v>
      </c>
      <c r="Z7" s="72">
        <v>0.0</v>
      </c>
      <c r="AB7" s="73" t="str">
        <f>IF(Z7=0, "Unknown", "MAX")</f>
        <v>Unknown</v>
      </c>
      <c r="AE7" s="58"/>
      <c r="AF7" s="58"/>
      <c r="AG7" s="58"/>
      <c r="AH7" s="64"/>
      <c r="AI7" s="61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74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58"/>
      <c r="CA7" s="58"/>
      <c r="CB7" s="58"/>
      <c r="CC7" s="58"/>
    </row>
    <row r="8">
      <c r="A8" s="58"/>
      <c r="B8" s="58"/>
      <c r="C8" s="58"/>
      <c r="D8" s="59" t="s">
        <v>114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60"/>
      <c r="S8" s="61"/>
      <c r="T8" s="62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64"/>
      <c r="AI8" s="61"/>
      <c r="AJ8" s="58"/>
      <c r="AK8" s="59" t="s">
        <v>115</v>
      </c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75" t="s">
        <v>116</v>
      </c>
      <c r="BE8" s="76"/>
      <c r="BF8" s="76"/>
      <c r="BG8" s="76"/>
      <c r="BH8" s="76"/>
      <c r="BI8" s="76"/>
      <c r="BJ8" s="77" t="s">
        <v>117</v>
      </c>
      <c r="BK8" s="78" t="s">
        <v>118</v>
      </c>
      <c r="BL8" s="79"/>
      <c r="BM8" s="80"/>
      <c r="BN8" s="81" t="s">
        <v>119</v>
      </c>
      <c r="BO8" s="82" t="s">
        <v>120</v>
      </c>
      <c r="BP8" s="83" t="s">
        <v>121</v>
      </c>
      <c r="BQ8" s="79"/>
      <c r="BR8" s="79"/>
      <c r="BS8" s="79"/>
      <c r="BT8" s="79"/>
      <c r="BU8" s="79"/>
      <c r="BV8" s="84" t="s">
        <v>122</v>
      </c>
      <c r="BW8" s="79"/>
      <c r="BX8" s="79"/>
      <c r="BY8" s="80"/>
      <c r="BZ8" s="58"/>
      <c r="CA8" s="58"/>
      <c r="CB8" s="58"/>
      <c r="CC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60"/>
      <c r="S9" s="61"/>
      <c r="T9" s="62"/>
      <c r="U9" s="70" t="str">
        <f>IF(Z7&gt;0, "All Gens Bonus", "--    ")</f>
        <v>--    </v>
      </c>
      <c r="Z9" s="85">
        <v>0.0</v>
      </c>
      <c r="AA9" s="58"/>
      <c r="AB9" s="86" t="str">
        <f>IF(Z7&gt;0, "??", "--")</f>
        <v>--</v>
      </c>
      <c r="AD9" s="87"/>
      <c r="AE9" s="87" t="str">
        <f>IF(Z7&gt;0, "x?.??", "--")</f>
        <v>--</v>
      </c>
      <c r="AH9" s="64"/>
      <c r="AI9" s="61"/>
      <c r="AJ9" s="58"/>
      <c r="AK9" s="88" t="s">
        <v>123</v>
      </c>
      <c r="BC9" s="58"/>
      <c r="BD9" s="89" t="s">
        <v>124</v>
      </c>
      <c r="BJ9" s="90">
        <f>Z24</f>
        <v>0</v>
      </c>
      <c r="BK9" s="91">
        <f>AB24</f>
        <v>1</v>
      </c>
      <c r="BM9" s="92"/>
      <c r="BN9" s="93" t="b">
        <v>0</v>
      </c>
      <c r="BO9" s="94"/>
      <c r="BP9" s="95">
        <f>IF(ExodusIsUpgrading,
    IF(ExodusLevel=2,
        IF(AttractionLevel&lt;3,
            IF(AND(AttractionLevel=2, AttractionIsUpgrading),
                StorageLocker!C4,
                "Error - Att 3 Not yet Unlocked!"
            ),
            StorageLocker!C4
        ),
        StorageLocker!C4
    ),
    StorageLocker!C4
)</f>
        <v>0</v>
      </c>
      <c r="BY9" s="92"/>
      <c r="BZ9" s="58"/>
      <c r="CA9" s="58"/>
      <c r="CB9" s="58"/>
      <c r="CC9" s="58"/>
    </row>
    <row r="10">
      <c r="A10" s="58"/>
      <c r="B10" s="58"/>
      <c r="C10" s="58"/>
      <c r="D10" s="59" t="s">
        <v>129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60"/>
      <c r="S10" s="61"/>
      <c r="T10" s="62"/>
      <c r="U10" s="58"/>
      <c r="V10" s="58"/>
      <c r="W10" s="58"/>
      <c r="X10" s="58"/>
      <c r="Y10" s="58"/>
      <c r="Z10" s="58"/>
      <c r="AA10" s="58"/>
      <c r="AB10" s="87"/>
      <c r="AC10" s="87"/>
      <c r="AD10" s="87"/>
      <c r="AE10" s="87"/>
      <c r="AF10" s="87"/>
      <c r="AG10" s="87"/>
      <c r="AH10" s="64"/>
      <c r="AI10" s="61"/>
      <c r="AJ10" s="58"/>
      <c r="BC10" s="58"/>
      <c r="BD10" s="96" t="s">
        <v>130</v>
      </c>
      <c r="BJ10" s="97">
        <f t="shared" ref="BJ10:BJ14" si="1">Z26</f>
        <v>0</v>
      </c>
      <c r="BK10" s="98">
        <f t="shared" ref="BK10:BK14" si="2">AB26</f>
        <v>1</v>
      </c>
      <c r="BM10" s="99"/>
      <c r="BN10" s="100">
        <v>0.0</v>
      </c>
      <c r="BO10" s="101">
        <f>1*(1.2^(Z26+BN10))*MAX(1.05^(Z26+BN10-14),1)*MAX(1.1^(Z26+BN10-29),1)*MAX(1.2^(Z26+BN10-39),1)</f>
        <v>1</v>
      </c>
      <c r="BP10" s="102">
        <f>IF(BN10&lt;1,
    0,
    IF(ExodusLevel&lt;1,
        IF(ExodusIsUpgrading=False,
            "Error - Exodus 1 Not Yet Unlocked",
            StorageLocker!C5
        ),
        StorageLocker!C5
    )
)</f>
        <v>0</v>
      </c>
      <c r="BV10" s="103">
        <f>IF(OR(BN10&gt;0, BN9), ((4^(BN10+BJ10))^(1+((ExodusLevel+BN9)*0.1)-0.1))/AE26, (4^(1))^(1+((ExodusLevel)*0.1)-0.1))</f>
        <v>3.482202253</v>
      </c>
      <c r="BY10" s="99"/>
      <c r="BZ10" s="58"/>
      <c r="CA10" s="58"/>
      <c r="CB10" s="58"/>
      <c r="CC10" s="58"/>
    </row>
    <row r="11">
      <c r="A11" s="58"/>
      <c r="B11" s="58"/>
      <c r="C11" s="58"/>
      <c r="D11" s="104" t="s">
        <v>135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60"/>
      <c r="S11" s="105"/>
      <c r="T11" s="106"/>
      <c r="U11" s="58"/>
      <c r="V11" s="58"/>
      <c r="W11" s="58"/>
      <c r="X11" s="58"/>
      <c r="Y11" s="58"/>
      <c r="Z11" s="58"/>
      <c r="AA11" s="58"/>
      <c r="AB11" s="87"/>
      <c r="AC11" s="87"/>
      <c r="AD11" s="87"/>
      <c r="AE11" s="87"/>
      <c r="AF11" s="87"/>
      <c r="AG11" s="87"/>
      <c r="AH11" s="64"/>
      <c r="AI11" s="61"/>
      <c r="AJ11" s="58"/>
      <c r="AK11" s="107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108" t="s">
        <v>136</v>
      </c>
      <c r="BJ11" s="109">
        <f t="shared" si="1"/>
        <v>0</v>
      </c>
      <c r="BK11" s="91">
        <f t="shared" si="2"/>
        <v>2</v>
      </c>
      <c r="BM11" s="92"/>
      <c r="BN11" s="100">
        <v>0.0</v>
      </c>
      <c r="BO11" s="110">
        <f>2*(1.8^(Z27+BN11))*MAX(1.1^(Z27+BN11-14), 1)*MAX(1.2^(Z27+BN11-29), 1)*MAX(1.3^(Z27+BN11-39), 1)</f>
        <v>2</v>
      </c>
      <c r="BP11" s="112">
        <f>IF(BN11&lt;1,
    0,
    IF(ExodusLevel&lt;2,
        IF(OR(ExodusIsUpgrading=False, ExodusLevel&lt;1),
            "Error - Exodus 2 Not Yet Unlocked",
            StorageLocker!C6
        ),
        StorageLocker!C6
    )
)</f>
        <v>0</v>
      </c>
      <c r="BV11" s="113">
        <f>IF(OR(BN11&gt;0, BN9), ((5^(BN11+BJ11))^(1+((ExodusLevel+BN9)*0.1)-0.1))/AE27, (5^(1))^(1+((ExodusLevel)*0.1)-0.1))</f>
        <v>4.256699613</v>
      </c>
      <c r="BY11" s="92"/>
      <c r="BZ11" s="58"/>
      <c r="CA11" s="58"/>
      <c r="CB11" s="58"/>
      <c r="CC11" s="58"/>
    </row>
    <row r="12">
      <c r="A12" s="58"/>
      <c r="B12" s="58"/>
      <c r="C12" s="55"/>
      <c r="D12" s="56"/>
      <c r="E12" s="56"/>
      <c r="F12" s="115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56"/>
      <c r="R12" s="56"/>
      <c r="S12" s="61"/>
      <c r="T12" s="62"/>
      <c r="U12" s="58"/>
      <c r="V12" s="58"/>
      <c r="W12" s="58"/>
      <c r="X12" s="58"/>
      <c r="Y12" s="58"/>
      <c r="Z12" s="58"/>
      <c r="AA12" s="58"/>
      <c r="AB12" s="87"/>
      <c r="AC12" s="87"/>
      <c r="AD12" s="87"/>
      <c r="AE12" s="87"/>
      <c r="AF12" s="87"/>
      <c r="AG12" s="87"/>
      <c r="AH12" s="64"/>
      <c r="AI12" s="105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7"/>
      <c r="AZ12" s="58"/>
      <c r="BA12" s="58"/>
      <c r="BB12" s="58"/>
      <c r="BC12" s="58"/>
      <c r="BD12" s="118" t="s">
        <v>71</v>
      </c>
      <c r="BJ12" s="97">
        <f t="shared" si="1"/>
        <v>0</v>
      </c>
      <c r="BK12" s="98">
        <f t="shared" si="2"/>
        <v>500</v>
      </c>
      <c r="BM12" s="99"/>
      <c r="BN12" s="100">
        <v>0.0</v>
      </c>
      <c r="BO12" s="101">
        <f>500*(1.9^(Z28+BN12))*MAX(1.1^(Z28+BN12-14), 1)*MAX(1.2^(Z28+BN12-29), 1)*MAX(1.3^(Z28+BN12-39), 1)</f>
        <v>500</v>
      </c>
      <c r="BP12" s="102">
        <f>IF(BN12&lt;1,
    0,
    IF(ExodusLevel&lt;3,
        IF(OR(ExodusIsUpgrading=False, ExodusLevel&lt;2),
            "Error - Exodus 3 Not Yet Unlocked",
            StorageLocker!C7
        ),
        StorageLocker!C7
    )
)</f>
        <v>0</v>
      </c>
      <c r="BV12" s="123">
        <f>IF(OR(BN12&gt;0, BN9), ((8^(BN12+BJ12))^(1+((ExodusLevel+BN9)*0.1)-0.1))/AE28, (8^(1))^(1+((ExodusLevel)*0.1)-0.1))</f>
        <v>6.498019171</v>
      </c>
      <c r="BY12" s="99"/>
      <c r="BZ12" s="58"/>
      <c r="CA12" s="58"/>
      <c r="CB12" s="58"/>
      <c r="CC12" s="58"/>
    </row>
    <row r="13">
      <c r="A13" s="58"/>
      <c r="B13" s="60"/>
      <c r="C13" s="61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5"/>
      <c r="S13" s="61"/>
      <c r="T13" s="62"/>
      <c r="U13" s="58"/>
      <c r="V13" s="58"/>
      <c r="W13" s="58"/>
      <c r="X13" s="58"/>
      <c r="Y13" s="58"/>
      <c r="Z13" s="58"/>
      <c r="AA13" s="58"/>
      <c r="AB13" s="87"/>
      <c r="AC13" s="87"/>
      <c r="AD13" s="87"/>
      <c r="AE13" s="87"/>
      <c r="AF13" s="87"/>
      <c r="AG13" s="87"/>
      <c r="AH13" s="64"/>
      <c r="AI13" s="105"/>
      <c r="AJ13" s="126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8"/>
      <c r="AY13" s="61"/>
      <c r="AZ13" s="58"/>
      <c r="BA13" s="58"/>
      <c r="BB13" s="58"/>
      <c r="BC13" s="58"/>
      <c r="BD13" s="129" t="s">
        <v>81</v>
      </c>
      <c r="BJ13" s="109">
        <f t="shared" si="1"/>
        <v>0</v>
      </c>
      <c r="BK13" s="91">
        <f t="shared" si="2"/>
        <v>10000</v>
      </c>
      <c r="BM13" s="92"/>
      <c r="BN13" s="100">
        <v>0.0</v>
      </c>
      <c r="BO13" s="110">
        <f>10000*(2^(Z29+BN13))*MAX(1.1^(Z29+BN13-14), 1)</f>
        <v>10000</v>
      </c>
      <c r="BP13" s="112">
        <f>IF(BN13&lt;1,
    0,
    IF(ExodusLevel&lt;4,
        IF(OR(ExodusIsUpgrading=False, ExodusLevel&lt;3),
            "Error - Exodus 4 Not Yet Unlocked",
            StorageLocker!C8
        ),
        StorageLocker!C8
    )
)</f>
        <v>0</v>
      </c>
      <c r="BV13" s="130">
        <f>IF(OR(BN13&gt;0, BN9), ((4^(BN13+BJ13))^(1+((ExodusLevel+BN9)*0.1)-0.1))/AE29, (4^(1))^(1+((ExodusLevel)*0.1)-0.1))</f>
        <v>3.482202253</v>
      </c>
      <c r="BY13" s="92"/>
      <c r="BZ13" s="58"/>
      <c r="CA13" s="58"/>
      <c r="CB13" s="58"/>
      <c r="CC13" s="58"/>
    </row>
    <row r="14">
      <c r="A14" s="58"/>
      <c r="B14" s="60"/>
      <c r="C14" s="61"/>
      <c r="D14" s="124"/>
      <c r="E14" s="58"/>
      <c r="F14" s="68" t="s">
        <v>144</v>
      </c>
      <c r="P14" s="68"/>
      <c r="Q14" s="58"/>
      <c r="R14" s="125"/>
      <c r="S14" s="61"/>
      <c r="T14" s="62"/>
      <c r="U14" s="58"/>
      <c r="V14" s="58"/>
      <c r="W14" s="58"/>
      <c r="X14" s="58"/>
      <c r="Y14" s="58"/>
      <c r="Z14" s="58"/>
      <c r="AA14" s="58"/>
      <c r="AB14" s="87"/>
      <c r="AC14" s="87"/>
      <c r="AD14" s="87"/>
      <c r="AE14" s="87"/>
      <c r="AF14" s="87"/>
      <c r="AG14" s="87"/>
      <c r="AH14" s="64"/>
      <c r="AI14" s="61"/>
      <c r="AJ14" s="126"/>
      <c r="AK14" s="68" t="s">
        <v>145</v>
      </c>
      <c r="AX14" s="128"/>
      <c r="AY14" s="61"/>
      <c r="AZ14" s="58"/>
      <c r="BA14" s="58"/>
      <c r="BB14" s="58"/>
      <c r="BC14" s="58"/>
      <c r="BD14" s="118" t="s">
        <v>86</v>
      </c>
      <c r="BJ14" s="97">
        <f t="shared" si="1"/>
        <v>0</v>
      </c>
      <c r="BK14" s="98">
        <f t="shared" si="2"/>
        <v>1000000</v>
      </c>
      <c r="BM14" s="99"/>
      <c r="BN14" s="100">
        <v>0.0</v>
      </c>
      <c r="BO14" s="101">
        <f>1000000*(2.1^(Z30+BN14))</f>
        <v>1000000</v>
      </c>
      <c r="BP14" s="102">
        <f>IF(BN14&lt;1,
    0,
    IF(ExodusLevel&lt;4,
        IF(OR(ExodusIsUpgrading=False, ExodusLevel&lt;3),
            "Error - Exodus 4 Not Yet Unlocked",
            StorageLocker!C9
        ),
        StorageLocker!C9
    )
)</f>
        <v>0</v>
      </c>
      <c r="BV14" s="123">
        <f>IF(OR(BN14&gt;0, BN9), ((1.6^(BN14+BJ14))^(1+((ExodusLevel+BN9)*0.1)-0.1))/AE30, (1.6^(1))^(1+((ExodusLevel)*0.1)-0.1))</f>
        <v>1.526539282</v>
      </c>
      <c r="BY14" s="99"/>
      <c r="BZ14" s="58"/>
      <c r="CA14" s="58"/>
      <c r="CB14" s="65"/>
      <c r="CC14" s="58"/>
    </row>
    <row r="15">
      <c r="A15" s="58"/>
      <c r="B15" s="60"/>
      <c r="C15" s="61"/>
      <c r="D15" s="124"/>
      <c r="E15" s="58"/>
      <c r="F15" s="58"/>
      <c r="G15" s="70" t="s">
        <v>111</v>
      </c>
      <c r="J15" s="131">
        <v>0.0</v>
      </c>
      <c r="L15" s="73">
        <f>IF(J15=0, 555, IF(J15=1, 200000, IF(J15=2, 400000, "MAX")))</f>
        <v>555</v>
      </c>
      <c r="O15" s="58"/>
      <c r="P15" s="58"/>
      <c r="Q15" s="58"/>
      <c r="R15" s="125"/>
      <c r="S15" s="61"/>
      <c r="T15" s="62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4"/>
      <c r="AI15" s="61"/>
      <c r="AJ15" s="127"/>
      <c r="AK15" s="58"/>
      <c r="AL15" s="58"/>
      <c r="AM15" s="70" t="s">
        <v>111</v>
      </c>
      <c r="AP15" s="131">
        <v>0.0</v>
      </c>
      <c r="AR15" s="73">
        <f>IF(TemporalityLevel=0, 5, IF(TemporalityLevel=1, 18, IF(TemporalityLevel=2, 3000000000, "MAX")))</f>
        <v>5</v>
      </c>
      <c r="AU15" s="58"/>
      <c r="AV15" s="58"/>
      <c r="AW15" s="58"/>
      <c r="AX15" s="128"/>
      <c r="AY15" s="61"/>
      <c r="AZ15" s="58"/>
      <c r="BA15" s="58"/>
      <c r="BB15" s="58"/>
      <c r="BC15" s="58"/>
      <c r="BD15" s="132"/>
      <c r="BJ15" s="133"/>
      <c r="BK15" s="91"/>
      <c r="BM15" s="92"/>
      <c r="BN15" s="134"/>
      <c r="BO15" s="110"/>
      <c r="BP15" s="135"/>
      <c r="BV15" s="136"/>
      <c r="BY15" s="92"/>
      <c r="BZ15" s="58"/>
      <c r="CA15" s="58"/>
      <c r="CB15" s="65"/>
      <c r="CC15" s="58"/>
    </row>
    <row r="16">
      <c r="A16" s="58"/>
      <c r="B16" s="60"/>
      <c r="C16" s="61"/>
      <c r="D16" s="124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125"/>
      <c r="S16" s="61"/>
      <c r="T16" s="62"/>
      <c r="U16" s="58"/>
      <c r="V16" s="58"/>
      <c r="W16" s="58"/>
      <c r="X16" s="58"/>
      <c r="Y16" s="58"/>
      <c r="Z16" s="58"/>
      <c r="AA16" s="58"/>
      <c r="AB16" s="87"/>
      <c r="AC16" s="87"/>
      <c r="AD16" s="87"/>
      <c r="AE16" s="87"/>
      <c r="AF16" s="87"/>
      <c r="AG16" s="87"/>
      <c r="AH16" s="64"/>
      <c r="AI16" s="61"/>
      <c r="AJ16" s="127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128"/>
      <c r="AY16" s="61"/>
      <c r="AZ16" s="58"/>
      <c r="BA16" s="58"/>
      <c r="BB16" s="58"/>
      <c r="BC16" s="58"/>
      <c r="BD16" s="137" t="s">
        <v>145</v>
      </c>
      <c r="BJ16" s="138">
        <f>AP15</f>
        <v>0</v>
      </c>
      <c r="BK16" s="98">
        <f>AR15</f>
        <v>5</v>
      </c>
      <c r="BM16" s="99"/>
      <c r="BN16" s="93" t="b">
        <v>0</v>
      </c>
      <c r="BO16" s="139"/>
      <c r="BP16" s="140">
        <f>IF(TemporalityIsUpgrading, 
    SWITCH(TemporalityLevel,
        0, 
        IF(AND(ExodusLevel&lt;2),
            IF(AND(ExodusLevel=1, ExodusIsUpgrading),
                StorageLocker!C12,
                "Error - Exodus 2 Not Yet Unlocked"
            ),
            StorageLocker!C12
        ),
        1,
        IF(InnovationLevel&lt;1,
            IF(AND(InnovationLevel=0, InnovationIsUpgrading),
                StorageLocker!C12,
                "Error - Innovation 1 Not Yet Unlocked"
            ),
            StorageLocker!C12
        ),
        2, 
        StorageLocker!C12,
        3,
        StorageLocker!C12
    ),
    StorageLocker!C12
)</f>
        <v>0</v>
      </c>
      <c r="BY16" s="99"/>
      <c r="BZ16" s="58"/>
      <c r="CA16" s="58"/>
      <c r="CB16" s="58"/>
      <c r="CC16" s="58"/>
    </row>
    <row r="17">
      <c r="A17" s="58"/>
      <c r="B17" s="60"/>
      <c r="C17" s="61"/>
      <c r="D17" s="124"/>
      <c r="E17" s="70" t="str">
        <f>IF($J$15&gt;0, "All Mechs Caps +", "--    ")</f>
        <v>--    </v>
      </c>
      <c r="J17" s="141">
        <v>0.0</v>
      </c>
      <c r="K17" s="58"/>
      <c r="L17" s="142">
        <f>1*(10^J17)</f>
        <v>1</v>
      </c>
      <c r="O17" s="143">
        <f>(100000000^J17)^(1 + (CreationLevel*0.1) - 0.1)</f>
        <v>1</v>
      </c>
      <c r="R17" s="125"/>
      <c r="S17" s="61"/>
      <c r="T17" s="62"/>
      <c r="U17" s="58"/>
      <c r="V17" s="58"/>
      <c r="W17" s="58"/>
      <c r="X17" s="58"/>
      <c r="Y17" s="58"/>
      <c r="Z17" s="58"/>
      <c r="AA17" s="58"/>
      <c r="AB17" s="87"/>
      <c r="AC17" s="87"/>
      <c r="AD17" s="87"/>
      <c r="AE17" s="87"/>
      <c r="AF17" s="87"/>
      <c r="AG17" s="87"/>
      <c r="AH17" s="64"/>
      <c r="AI17" s="61"/>
      <c r="AJ17" s="127"/>
      <c r="AK17" s="70" t="str">
        <f>IF(AP15&gt;0, "MP Bonus (LMs)", "--    ")</f>
        <v>--    </v>
      </c>
      <c r="AP17" s="141">
        <v>0.0</v>
      </c>
      <c r="AQ17" s="58"/>
      <c r="AR17" s="142">
        <f>1.5*(1.5^AP17)*MAX(1.01^(AP17-14),1)*MAX(1.02^(AP17-29),1)*MAX(1.03^(AP17-39),1)</f>
        <v>1.5</v>
      </c>
      <c r="AU17" s="143">
        <f>(1+(0.01*AP17)*AR48)^(1+(TemporalityLevel*0.1)-0.1)</f>
        <v>1</v>
      </c>
      <c r="AX17" s="128"/>
      <c r="AY17" s="61"/>
      <c r="AZ17" s="58"/>
      <c r="BA17" s="58"/>
      <c r="BB17" s="58"/>
      <c r="BC17" s="58"/>
      <c r="BD17" s="108" t="s">
        <v>149</v>
      </c>
      <c r="BJ17" s="109">
        <f t="shared" ref="BJ17:BJ22" si="3">AP17</f>
        <v>0</v>
      </c>
      <c r="BK17" s="91">
        <f t="shared" ref="BK17:BK22" si="4">AR17</f>
        <v>1.5</v>
      </c>
      <c r="BM17" s="92"/>
      <c r="BN17" s="100">
        <v>0.0</v>
      </c>
      <c r="BO17" s="94">
        <f>1.5*(1.5^(AP17+BN17))*MAX(1.01^(AP17+BN17-14),1)*MAX(1.02^(AP17+BN17-29),1)*MAX(1.03^(AP17+BN17-39),1)</f>
        <v>1.5</v>
      </c>
      <c r="BP17" s="144">
        <f>IF(BN17&lt;1,
    0,
    IF(TemporalityLevel&lt;1,
        IF(TemporalityIsUpgrading=False,
            "Error - Temporal 1 Not Yet Unlocked",
            StorageLocker!C13
        ), 
        StorageLocker!C13
    )
)</f>
        <v>0</v>
      </c>
      <c r="BV17" s="113">
        <f>IF(OR(BN17&gt;0, BN16), ((1+(0.01*(BN17+BJ17))*AR48)^(1+((TemporalityLevel+BN16)*0.1)-0.1))/AU17, ((1+(0.01*(1+BJ17))*AR48)^(1+((TemporalityLevel+BN16)*0.1)-0.1))/AU17)</f>
        <v>170.1021669</v>
      </c>
      <c r="BY17" s="92"/>
      <c r="BZ17" s="58"/>
      <c r="CA17" s="58"/>
      <c r="CB17" s="58"/>
      <c r="CC17" s="58"/>
    </row>
    <row r="18">
      <c r="A18" s="58"/>
      <c r="B18" s="60"/>
      <c r="C18" s="61"/>
      <c r="D18" s="124"/>
      <c r="E18" s="70" t="str">
        <f>IF($J$15&gt;1, "Hardware Bonus", "--    ")</f>
        <v>--    </v>
      </c>
      <c r="J18" s="141">
        <v>0.0</v>
      </c>
      <c r="K18" s="58"/>
      <c r="L18" s="142">
        <f>1000*(3^J18)</f>
        <v>1000</v>
      </c>
      <c r="O18" s="143">
        <f>(10^J18)^(1+(CreationLevel*0.1)-0.1)</f>
        <v>1</v>
      </c>
      <c r="R18" s="125"/>
      <c r="S18" s="61"/>
      <c r="T18" s="62"/>
      <c r="U18" s="65"/>
      <c r="V18" s="65"/>
      <c r="W18" s="65"/>
      <c r="X18" s="58"/>
      <c r="Y18" s="58"/>
      <c r="Z18" s="58"/>
      <c r="AA18" s="58"/>
      <c r="AB18" s="58"/>
      <c r="AC18" s="58"/>
      <c r="AD18" s="58"/>
      <c r="AE18" s="65"/>
      <c r="AF18" s="65"/>
      <c r="AG18" s="65"/>
      <c r="AH18" s="64"/>
      <c r="AI18" s="61"/>
      <c r="AJ18" s="127"/>
      <c r="AK18" s="70" t="str">
        <f>IF(AP15&gt;1, "MP Bonus (Ticks)", "--    ")</f>
        <v>--    </v>
      </c>
      <c r="AP18" s="141">
        <v>0.0</v>
      </c>
      <c r="AQ18" s="58"/>
      <c r="AR18" s="142">
        <f>1.5*(4^AP18)*MAX(1.01^(AP18-14), 1)*MAX(1.02^(AP18-29), 1)*MAX(1.03^(AP18-39), 1)</f>
        <v>1.5</v>
      </c>
      <c r="AU18" s="143">
        <f>(1+(0.0005*AP18)*AR50)^(1+(TemporalityLevel*0.1)-0.1)</f>
        <v>1</v>
      </c>
      <c r="AX18" s="128"/>
      <c r="AY18" s="61"/>
      <c r="AZ18" s="58"/>
      <c r="BA18" s="58"/>
      <c r="BB18" s="58"/>
      <c r="BC18" s="58"/>
      <c r="BD18" s="96" t="s">
        <v>163</v>
      </c>
      <c r="BJ18" s="97">
        <f t="shared" si="3"/>
        <v>0</v>
      </c>
      <c r="BK18" s="98">
        <f t="shared" si="4"/>
        <v>1.5</v>
      </c>
      <c r="BM18" s="99"/>
      <c r="BN18" s="100">
        <v>0.0</v>
      </c>
      <c r="BO18" s="139">
        <f>1.5*(4^(AP18+BN18))*MAX(1.01^(AP18+BN18-14), 1)*MAX(1.02^(AP18+BN18-29), 1)*MAX(1.03^(AP18+BN18-39), 1)</f>
        <v>1.5</v>
      </c>
      <c r="BP18" s="146">
        <f>IF(BN18&lt;1,
    0,
    IF(TemporalityLevel&lt;2,
        IF(OR(TemporalityIsUpgrading=False, TemporalityLevel&lt;1),
            "Error - Temporal 2 Not Yet Unlocked",
            StorageLocker!C14
        ),
        StorageLocker!C14
    )
)</f>
        <v>0</v>
      </c>
      <c r="BV18" s="123">
        <f>IF(OR(BN18&gt;0, BN16), ((1+(0.0005*(BN18+BJ18))*AR50)^(1+((TemporalityLevel+BN16)*0.1)-0.1))/AU18, ((1+(0.0005*(1+BJ18))*AR50)^(1+((TemporalityLevel+BN16)*0.1)-0.1))/AU18)</f>
        <v>34.42018169</v>
      </c>
      <c r="BY18" s="99"/>
      <c r="BZ18" s="58"/>
      <c r="CA18" s="58"/>
      <c r="CB18" s="58"/>
      <c r="CC18" s="58"/>
    </row>
    <row r="19">
      <c r="A19" s="58"/>
      <c r="B19" s="60"/>
      <c r="C19" s="61"/>
      <c r="D19" s="124"/>
      <c r="E19" s="70" t="str">
        <f>IF($J$15&gt;1, "Software Bonus", "--    ")</f>
        <v>--    </v>
      </c>
      <c r="J19" s="141">
        <v>0.0</v>
      </c>
      <c r="K19" s="58"/>
      <c r="L19" s="142">
        <f>10000*(4^J19)</f>
        <v>10000</v>
      </c>
      <c r="O19" s="143">
        <f>(50^J19)^(1+(CreationLevel*0.1)-0.1)</f>
        <v>1</v>
      </c>
      <c r="R19" s="125"/>
      <c r="S19" s="61"/>
      <c r="T19" s="62"/>
      <c r="U19" s="58"/>
      <c r="V19" s="58"/>
      <c r="W19" s="58"/>
      <c r="X19" s="70">
        <v>1.0</v>
      </c>
      <c r="Y19" s="147" t="b">
        <v>0</v>
      </c>
      <c r="Z19" s="70">
        <v>2.0</v>
      </c>
      <c r="AA19" s="147" t="b">
        <v>0</v>
      </c>
      <c r="AB19" s="70">
        <v>3.0</v>
      </c>
      <c r="AC19" s="147" t="b">
        <v>0</v>
      </c>
      <c r="AD19" s="65"/>
      <c r="AE19" s="58"/>
      <c r="AF19" s="58"/>
      <c r="AG19" s="58"/>
      <c r="AH19" s="64"/>
      <c r="AI19" s="61"/>
      <c r="AJ19" s="127"/>
      <c r="AK19" s="148" t="str">
        <f>IF(AP15&gt;2, "MP (Zag Ranks)", "--    ")</f>
        <v>--    </v>
      </c>
      <c r="AP19" s="141">
        <v>0.0</v>
      </c>
      <c r="AQ19" s="58"/>
      <c r="AR19" s="142">
        <f>1000*(100^AP19)</f>
        <v>1000</v>
      </c>
      <c r="AU19" s="143">
        <f>((1+(0.35*AP19))^AR57)^(1+(TemporalityLevel*0.1)-0.1)</f>
        <v>1</v>
      </c>
      <c r="AX19" s="128"/>
      <c r="AY19" s="61"/>
      <c r="AZ19" s="58"/>
      <c r="BA19" s="58"/>
      <c r="BB19" s="58"/>
      <c r="BC19" s="58"/>
      <c r="BD19" s="129" t="s">
        <v>164</v>
      </c>
      <c r="BJ19" s="109">
        <f t="shared" si="3"/>
        <v>0</v>
      </c>
      <c r="BK19" s="91">
        <f t="shared" si="4"/>
        <v>1000</v>
      </c>
      <c r="BM19" s="92"/>
      <c r="BN19" s="100">
        <v>0.0</v>
      </c>
      <c r="BO19" s="94">
        <f>1000*(100^(AP19+BN19))</f>
        <v>1000</v>
      </c>
      <c r="BP19" s="144">
        <f>IF(BN19&lt;1,
    0,
    IF(TemporalityLevel&lt;3,
        IF(OR(TemporalityIsUpgrading=False, TemporalityLevel&lt;2),
            "Error - Temporal 3 Not Yet Unlocked",
            StorageLocker!C15
        ),
        StorageLocker!C15
    )
)</f>
        <v>0</v>
      </c>
      <c r="BV19" s="113">
        <f>IF(OR(BN19&gt;0, BN16), ((1+(0.35*(AP19+BN19)))^AR57)^(1+((TemporalityLevel+BN16)*0.1)-0.1)/AU19, ((1+(0.35*(AP19+1)))^AR57)^(1+((TemporalityLevel)*0.1)-0.1)/AU19)</f>
        <v>10914993.94</v>
      </c>
      <c r="BY19" s="92"/>
      <c r="BZ19" s="58"/>
      <c r="CA19" s="58"/>
      <c r="CB19" s="58"/>
      <c r="CC19" s="58"/>
    </row>
    <row r="20">
      <c r="A20" s="58"/>
      <c r="B20" s="60"/>
      <c r="C20" s="61"/>
      <c r="D20" s="124"/>
      <c r="E20" s="70" t="str">
        <f>IF($J$15&gt;2, "Cells Bonus", "--    ")</f>
        <v>--    </v>
      </c>
      <c r="J20" s="141">
        <v>0.0</v>
      </c>
      <c r="K20" s="58"/>
      <c r="L20" s="142">
        <f>50000*(1.8^J20)*MAX(100^(J20-7),1)</f>
        <v>50000</v>
      </c>
      <c r="O20" s="143">
        <f>((1+(0.005*J20))^AR51)^(1+(CreationLevel*0.1)-0.1)</f>
        <v>1</v>
      </c>
      <c r="R20" s="125"/>
      <c r="S20" s="61"/>
      <c r="T20" s="149"/>
      <c r="U20" s="149"/>
      <c r="V20" s="149"/>
      <c r="W20" s="149"/>
      <c r="X20" s="150" t="s">
        <v>165</v>
      </c>
      <c r="Y20" s="15"/>
      <c r="Z20" s="15"/>
      <c r="AA20" s="15"/>
      <c r="AB20" s="15"/>
      <c r="AC20" s="15"/>
      <c r="AD20" s="15"/>
      <c r="AE20" s="149"/>
      <c r="AF20" s="149"/>
      <c r="AG20" s="149"/>
      <c r="AH20" s="151"/>
      <c r="AI20" s="61"/>
      <c r="AJ20" s="127"/>
      <c r="AK20" s="148" t="str">
        <f>IF(AP15&gt;2, "Max LM Levels", "--    ")</f>
        <v>--    </v>
      </c>
      <c r="AP20" s="141">
        <v>0.0</v>
      </c>
      <c r="AQ20" s="58"/>
      <c r="AR20" s="142">
        <f>20000000*(3^AP20)</f>
        <v>20000000</v>
      </c>
      <c r="AU20" s="152">
        <f>5*AP20*TemporalityLevel</f>
        <v>0</v>
      </c>
      <c r="AX20" s="128"/>
      <c r="AY20" s="61"/>
      <c r="AZ20" s="58"/>
      <c r="BA20" s="58"/>
      <c r="BB20" s="58"/>
      <c r="BC20" s="58"/>
      <c r="BD20" s="118" t="s">
        <v>166</v>
      </c>
      <c r="BJ20" s="97">
        <f t="shared" si="3"/>
        <v>0</v>
      </c>
      <c r="BK20" s="98">
        <f t="shared" si="4"/>
        <v>20000000</v>
      </c>
      <c r="BM20" s="99"/>
      <c r="BN20" s="100">
        <v>0.0</v>
      </c>
      <c r="BO20" s="139">
        <f>20000000*(3^(AP20+BN20))</f>
        <v>20000000</v>
      </c>
      <c r="BP20" s="146">
        <f>IF(BN20&lt;1,
    0,
    IF(TemporalityLevel&lt;3,
        IF(OR(TemporalityIsUpgrading=False, TemporalityLevel&lt;2),
            "Error - Temporal 3 Not Yet Unlocked",
            StorageLocker!C16
        ),
        StorageLocker!C16
    )
)</f>
        <v>0</v>
      </c>
      <c r="BV20" s="153">
        <f>IF(OR(BN20&gt;0, BN16), 5*(AP20+BN20)*(TemporalityLevel+BN16)-AU20, 5*TemporalityLevel)</f>
        <v>0</v>
      </c>
      <c r="BY20" s="99"/>
      <c r="BZ20" s="58"/>
      <c r="CA20" s="58"/>
      <c r="CB20" s="58"/>
      <c r="CC20" s="58"/>
    </row>
    <row r="21">
      <c r="A21" s="58"/>
      <c r="B21" s="60"/>
      <c r="C21" s="61"/>
      <c r="D21" s="124"/>
      <c r="E21" s="70" t="str">
        <f>IF($J$15&gt;2, "MP Bonus", "--    ")</f>
        <v>--    </v>
      </c>
      <c r="J21" s="141">
        <v>0.0</v>
      </c>
      <c r="K21" s="58"/>
      <c r="L21" s="142">
        <f>60000*(2.2^J21)*MAX(100^(J21-7),1)</f>
        <v>60000</v>
      </c>
      <c r="O21" s="143">
        <f>((1+(0.001*J21))^AR51)^(1+(CreationLevel*0.1)-0.1)</f>
        <v>1</v>
      </c>
      <c r="R21" s="125"/>
      <c r="S21" s="105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61"/>
      <c r="AJ21" s="127"/>
      <c r="AK21" s="148" t="str">
        <f>IF(AP15&gt;2, "MP (Zag Crew)", "--    ")</f>
        <v>--    </v>
      </c>
      <c r="AP21" s="141">
        <v>0.0</v>
      </c>
      <c r="AQ21" s="58"/>
      <c r="AR21" s="142">
        <f>100000*(3^AP21)</f>
        <v>100000</v>
      </c>
      <c r="AU21" s="143">
        <f>((1+(0.003*AP21))^AU57)^(1+(TemporalityLevel * 0.1)-0.1)</f>
        <v>1</v>
      </c>
      <c r="AX21" s="128"/>
      <c r="AY21" s="61"/>
      <c r="AZ21" s="58"/>
      <c r="BA21" s="65"/>
      <c r="BB21" s="58"/>
      <c r="BC21" s="58"/>
      <c r="BD21" s="129" t="s">
        <v>167</v>
      </c>
      <c r="BJ21" s="109">
        <f t="shared" si="3"/>
        <v>0</v>
      </c>
      <c r="BK21" s="91">
        <f t="shared" si="4"/>
        <v>100000</v>
      </c>
      <c r="BM21" s="92"/>
      <c r="BN21" s="100">
        <v>0.0</v>
      </c>
      <c r="BO21" s="94">
        <f>100000*(3^(AP21+BN21))</f>
        <v>100000</v>
      </c>
      <c r="BP21" s="144">
        <f>IF(BN21&lt;1,
    0,
    IF(TemporalityLevel&lt;3,
        IF(OR(TemporalityIsUpgrading=False, TemporalityLevel&lt;2),
            "Error - Temporal 3 Not Yet Unlocked",
            StorageLocker!C17
        ),
        StorageLocker!C17
    )
)</f>
        <v>0</v>
      </c>
      <c r="BV21" s="113">
        <f>IF(OR(BN21&gt;0, BN16), ((1+(0.003*(AP21+BN21)))^AU57)^(1+((TemporalityLevel+BN16) * 0.1)-0.1)/AU21, ((1+(0.003*(AP21+1)))^AU57)^(1+((TemporalityLevel) * 0.1)-0.1)/AU21)</f>
        <v>14.81971045</v>
      </c>
      <c r="BY21" s="92"/>
      <c r="BZ21" s="58"/>
      <c r="CA21" s="58"/>
      <c r="CB21" s="58"/>
      <c r="CC21" s="58"/>
    </row>
    <row r="22">
      <c r="A22" s="58"/>
      <c r="B22" s="60"/>
      <c r="C22" s="61"/>
      <c r="D22" s="124"/>
      <c r="E22" s="70" t="str">
        <f>IF($J$15&gt;2, "Shard Bonus", "--    ")</f>
        <v>--    </v>
      </c>
      <c r="J22" s="141">
        <v>0.0</v>
      </c>
      <c r="K22" s="58"/>
      <c r="L22" s="142">
        <f>70000*(2.8^J22)*MAX(100^(J22-7),1)</f>
        <v>70000</v>
      </c>
      <c r="O22" s="143">
        <f>((1+(0.001*J22))^AR51)^(1+(CreationLevel*0.1)-0.1)</f>
        <v>1</v>
      </c>
      <c r="R22" s="125"/>
      <c r="S22" s="61"/>
      <c r="T22" s="155"/>
      <c r="U22" s="155"/>
      <c r="V22" s="155"/>
      <c r="W22" s="155"/>
      <c r="X22" s="156"/>
      <c r="Y22" s="156"/>
      <c r="Z22" s="156"/>
      <c r="AA22" s="156"/>
      <c r="AB22" s="156"/>
      <c r="AC22" s="156"/>
      <c r="AD22" s="156"/>
      <c r="AE22" s="157"/>
      <c r="AF22" s="157"/>
      <c r="AG22" s="157"/>
      <c r="AH22" s="158"/>
      <c r="AI22" s="61"/>
      <c r="AJ22" s="127"/>
      <c r="AK22" s="148" t="str">
        <f>IF(AP15&gt;2, "MP Bonus (LRs)", "--    ")</f>
        <v>--    </v>
      </c>
      <c r="AP22" s="141">
        <v>0.0</v>
      </c>
      <c r="AQ22" s="58"/>
      <c r="AR22" s="159">
        <f>10000000000*(7^AP22)</f>
        <v>10000000000</v>
      </c>
      <c r="AU22" s="143">
        <f>((1+(0.005*AP22))^AR49)^(1+(TemporalityLevel * 0.1)-0.1)</f>
        <v>1</v>
      </c>
      <c r="AX22" s="128"/>
      <c r="AY22" s="61"/>
      <c r="AZ22" s="58"/>
      <c r="BA22" s="65"/>
      <c r="BB22" s="58"/>
      <c r="BC22" s="58"/>
      <c r="BD22" s="118" t="s">
        <v>78</v>
      </c>
      <c r="BJ22" s="97">
        <f t="shared" si="3"/>
        <v>0</v>
      </c>
      <c r="BK22" s="98">
        <f t="shared" si="4"/>
        <v>10000000000</v>
      </c>
      <c r="BM22" s="99"/>
      <c r="BN22" s="100">
        <v>0.0</v>
      </c>
      <c r="BO22" s="139">
        <f>10000000000*(7^(BJ22+BN22))</f>
        <v>10000000000</v>
      </c>
      <c r="BP22" s="146">
        <f>IF(BN22&lt;1,
    0,
    IF(TemporalityLevel&lt;3,
        IF(OR(TemporalityIsUpgrading=False, TemporalityLevel&lt;2),
            "Error - Temporal 3 Not Yet Unlocked",
            StorageLocker!C18
        ),
        StorageLocker!C18
    )
)</f>
        <v>0</v>
      </c>
      <c r="BV22" s="103">
        <f>IF(OR(BN22&gt;0, BN16), ((1+(0.005*(AP22+BN22)))^AR49)^(1+((TemporalityLevel+BN16) * 0.1)-0.1)/AU22, ((1+(0.005*(AP22+1)))^AR49)^(1+((TemporalityLevel) * 0.1)-0.1)/AU22)</f>
        <v>7923.392348</v>
      </c>
      <c r="BY22" s="99"/>
      <c r="BZ22" s="58"/>
      <c r="CA22" s="58"/>
      <c r="CB22" s="58"/>
      <c r="CC22" s="58"/>
    </row>
    <row r="23">
      <c r="A23" s="58"/>
      <c r="B23" s="60"/>
      <c r="C23" s="61"/>
      <c r="D23" s="124"/>
      <c r="E23" s="70" t="str">
        <f>IF($J$15&gt;2, "Rp Bonus", "--    ")</f>
        <v>--    </v>
      </c>
      <c r="J23" s="141">
        <v>0.0</v>
      </c>
      <c r="K23" s="58"/>
      <c r="L23" s="142">
        <f>80000*(3.5^J23)*MAX(100^(J23-7),1)</f>
        <v>80000</v>
      </c>
      <c r="O23" s="143">
        <f>((1+(0.0007*J23))^AR51)^(1+(CreationLevel*0.1)-0.1)</f>
        <v>1</v>
      </c>
      <c r="R23" s="125"/>
      <c r="S23" s="61"/>
      <c r="T23" s="155"/>
      <c r="U23" s="58"/>
      <c r="V23" s="68" t="s">
        <v>124</v>
      </c>
      <c r="AG23" s="58"/>
      <c r="AH23" s="158"/>
      <c r="AI23" s="61"/>
      <c r="AJ23" s="127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128"/>
      <c r="AY23" s="61"/>
      <c r="AZ23" s="58"/>
      <c r="BA23" s="58"/>
      <c r="BB23" s="58"/>
      <c r="BC23" s="58"/>
      <c r="BD23" s="132"/>
      <c r="BJ23" s="133"/>
      <c r="BK23" s="160"/>
      <c r="BM23" s="92"/>
      <c r="BN23" s="133"/>
      <c r="BO23" s="161"/>
      <c r="BP23" s="144"/>
      <c r="BV23" s="162"/>
      <c r="BY23" s="92"/>
      <c r="BZ23" s="58"/>
      <c r="CA23" s="58"/>
      <c r="CB23" s="58"/>
      <c r="CC23" s="58"/>
    </row>
    <row r="24">
      <c r="A24" s="58"/>
      <c r="B24" s="60"/>
      <c r="C24" s="61"/>
      <c r="D24" s="124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125"/>
      <c r="S24" s="61"/>
      <c r="T24" s="155"/>
      <c r="U24" s="58"/>
      <c r="V24" s="58"/>
      <c r="W24" s="70" t="s">
        <v>111</v>
      </c>
      <c r="Z24" s="131">
        <v>0.0</v>
      </c>
      <c r="AB24" s="73">
        <f>IF(Z24=0, 1, IF(Z24=1, 5, IF(Z24=2, 5000, IF(Z24=3, 200000, "MAX"))))</f>
        <v>1</v>
      </c>
      <c r="AE24" s="58"/>
      <c r="AF24" s="58"/>
      <c r="AG24" s="58"/>
      <c r="AH24" s="158"/>
      <c r="AI24" s="61"/>
      <c r="AJ24" s="127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128"/>
      <c r="AY24" s="61"/>
      <c r="AZ24" s="58"/>
      <c r="BA24" s="58"/>
      <c r="BB24" s="58"/>
      <c r="BC24" s="58"/>
      <c r="BD24" s="137" t="s">
        <v>169</v>
      </c>
      <c r="BJ24" s="138">
        <f>AP32</f>
        <v>0</v>
      </c>
      <c r="BK24" s="98">
        <f>AR32</f>
        <v>12</v>
      </c>
      <c r="BM24" s="99"/>
      <c r="BN24" s="93" t="b">
        <v>0</v>
      </c>
      <c r="BO24" s="139"/>
      <c r="BP24" s="140">
        <f>IF(InnovationIsUpgrading,
    SWITCH(InnovationLevel,
        0,
        IF(TemporalityLevel&lt;1,
            IF(AND(TemporalityLevel=0,TemporalityIsUpgrading),
                StorageLocker!C21,
                "Error - Temporal 1 Not Yet Unlocked"
            ), 
            StorageLocker!C21
        ),
        1,
        StorageLocker!C21,
        2,
        StorageLocker!C21
    ),
    StorageLocker!C21
)</f>
        <v>0</v>
      </c>
      <c r="BY24" s="99"/>
      <c r="BZ24" s="58"/>
      <c r="CA24" s="58"/>
      <c r="CB24" s="58"/>
      <c r="CC24" s="58"/>
    </row>
    <row r="25">
      <c r="A25" s="58"/>
      <c r="B25" s="60"/>
      <c r="C25" s="105"/>
      <c r="D25" s="163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125"/>
      <c r="S25" s="61"/>
      <c r="T25" s="155"/>
      <c r="U25" s="58"/>
      <c r="V25" s="58"/>
      <c r="W25" s="58"/>
      <c r="X25" s="58"/>
      <c r="Y25" s="58"/>
      <c r="Z25" s="58"/>
      <c r="AA25" s="58"/>
      <c r="AB25" s="87"/>
      <c r="AC25" s="87"/>
      <c r="AD25" s="87"/>
      <c r="AE25" s="87"/>
      <c r="AF25" s="87"/>
      <c r="AG25" s="87"/>
      <c r="AH25" s="158"/>
      <c r="AI25" s="61"/>
      <c r="AJ25" s="127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164"/>
      <c r="AV25" s="164"/>
      <c r="AW25" s="164"/>
      <c r="AX25" s="128"/>
      <c r="AY25" s="61"/>
      <c r="AZ25" s="58"/>
      <c r="BA25" s="58"/>
      <c r="BB25" s="58"/>
      <c r="BC25" s="58"/>
      <c r="BD25" s="108" t="s">
        <v>113</v>
      </c>
      <c r="BJ25" s="109">
        <f t="shared" ref="BJ25:BJ30" si="5">AP34</f>
        <v>0</v>
      </c>
      <c r="BK25" s="91">
        <f t="shared" ref="BK25:BK30" si="6">AR34</f>
        <v>3</v>
      </c>
      <c r="BM25" s="92"/>
      <c r="BN25" s="100">
        <v>0.0</v>
      </c>
      <c r="BO25" s="94">
        <f>3*(2^(AP34+BN25))*MAX(1.1^(AP34+BN25-9),1)*MAX(1.2^(AP34+BN25-19),1)*MAX(1.3^(AP34+BN25-29),1)*MAX(1.4^(AP34+BN25-39),1)</f>
        <v>3</v>
      </c>
      <c r="BP25" s="165">
        <f>IF(BN25&lt;1, 0, IF(InnovationLevel&lt;1, IF(InnovationIsUpgrading=False, "Error - Innovation 1 Not Yet Unlocked", StorageLocker!C22 ), StorageLocker!C22 ) )</f>
        <v>0</v>
      </c>
      <c r="BV25" s="166">
        <f>FLOOR(IF(OR(BN25&gt;0, BN24), (2*(AP34+BN25))^(1+((InnovationLevel+BN24)*0.1)-0.1)-AU34, (2*(AP34+1))^(1+((InnovationLevel)*0.1)-0.1)-AU34),1)</f>
        <v>1</v>
      </c>
      <c r="BY25" s="92"/>
      <c r="BZ25" s="58"/>
      <c r="CA25" s="58"/>
      <c r="CB25" s="58"/>
      <c r="CC25" s="58"/>
    </row>
    <row r="26">
      <c r="A26" s="58"/>
      <c r="B26" s="60"/>
      <c r="C26" s="61"/>
      <c r="D26" s="124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164"/>
      <c r="P26" s="164"/>
      <c r="Q26" s="164"/>
      <c r="R26" s="125"/>
      <c r="S26" s="61"/>
      <c r="T26" s="156"/>
      <c r="U26" s="70" t="str">
        <f>IF(Z24&gt;0, "Cells Bonus", "--    ")</f>
        <v>--    </v>
      </c>
      <c r="Z26" s="141">
        <v>0.0</v>
      </c>
      <c r="AA26" s="58"/>
      <c r="AB26" s="142">
        <f>1*(1.2^Z26)*MAX(1.05^(Z26-14),1)*MAX(1.1^(Z26-29),1)*MAX(1.2^(Z26-39),1)</f>
        <v>1</v>
      </c>
      <c r="AE26" s="143">
        <f>(4^Z26)^(1+(ExodusLevel*0.1)-0.1)</f>
        <v>1</v>
      </c>
      <c r="AH26" s="167"/>
      <c r="AI26" s="61"/>
      <c r="AJ26" s="127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164"/>
      <c r="AV26" s="164"/>
      <c r="AW26" s="164"/>
      <c r="AX26" s="128"/>
      <c r="AY26" s="61"/>
      <c r="AZ26" s="58"/>
      <c r="BA26" s="58"/>
      <c r="BB26" s="58"/>
      <c r="BC26" s="58"/>
      <c r="BD26" s="96" t="s">
        <v>130</v>
      </c>
      <c r="BJ26" s="97">
        <f t="shared" si="5"/>
        <v>0</v>
      </c>
      <c r="BK26" s="98">
        <f t="shared" si="6"/>
        <v>1000</v>
      </c>
      <c r="BM26" s="99"/>
      <c r="BN26" s="100">
        <v>0.0</v>
      </c>
      <c r="BO26" s="139">
        <f>1000*(10^(AP35+BN26))</f>
        <v>1000</v>
      </c>
      <c r="BP26" s="168">
        <f>IF(BN26&lt;1, 0, IF(InnovationLevel&lt;2, IF(OR(InnovationLevel&lt;1, InnovationIsUpgrading=False), "Error - Innovation 2 Not Yet Unlocked", StorageLocker!C23 ), StorageLocker!C23 ) )</f>
        <v>0</v>
      </c>
      <c r="BV26" s="103">
        <f>IF(OR(BN26&gt;0, BN24), ((1+(0.06*(AP35+BN26)))^AR52)^(1+((InnovationLevel+BN24)*0.1)-0.1)/AU35, ((1+(0.06*(AP35+1)))^AR52)^(1+((InnovationLevel)*0.1)-0.1)/AU35)</f>
        <v>189.4645112</v>
      </c>
      <c r="BY26" s="99"/>
      <c r="BZ26" s="58"/>
    </row>
    <row r="27">
      <c r="A27" s="58"/>
      <c r="B27" s="60"/>
      <c r="C27" s="61"/>
      <c r="D27" s="124"/>
      <c r="E27" s="58"/>
      <c r="F27" s="58"/>
      <c r="G27" s="58"/>
      <c r="H27" s="70">
        <v>1.0</v>
      </c>
      <c r="I27" s="147" t="b">
        <v>0</v>
      </c>
      <c r="J27" s="70">
        <v>2.0</v>
      </c>
      <c r="K27" s="147" t="b">
        <v>0</v>
      </c>
      <c r="L27" s="70">
        <v>3.0</v>
      </c>
      <c r="M27" s="147" t="b">
        <v>0</v>
      </c>
      <c r="N27" s="65"/>
      <c r="O27" s="58"/>
      <c r="P27" s="58"/>
      <c r="Q27" s="58"/>
      <c r="R27" s="125"/>
      <c r="S27" s="61"/>
      <c r="T27" s="156"/>
      <c r="U27" s="70" t="str">
        <f>IF(Z24&gt;1, "Shard Bonus", "--    ")</f>
        <v>--    </v>
      </c>
      <c r="Z27" s="141">
        <v>0.0</v>
      </c>
      <c r="AA27" s="58"/>
      <c r="AB27" s="142">
        <f>2*(1.8^Z27)*MAX(1.1^(Z27-14), 1)*MAX(1.2^(Z27-29), 1)*MAX(1.3^(Z27-39), 1)</f>
        <v>2</v>
      </c>
      <c r="AE27" s="143">
        <f>(5^Z27)^(1+(ExodusLevel*0.1)-0.1)</f>
        <v>1</v>
      </c>
      <c r="AH27" s="167"/>
      <c r="AI27" s="61"/>
      <c r="AJ27" s="127"/>
      <c r="AK27" s="58"/>
      <c r="AL27" s="58"/>
      <c r="AM27" s="58"/>
      <c r="AN27" s="70">
        <v>1.0</v>
      </c>
      <c r="AO27" s="147" t="b">
        <v>0</v>
      </c>
      <c r="AP27" s="70">
        <v>2.0</v>
      </c>
      <c r="AQ27" s="147" t="b">
        <v>0</v>
      </c>
      <c r="AR27" s="70">
        <v>3.0</v>
      </c>
      <c r="AS27" s="147" t="b">
        <v>0</v>
      </c>
      <c r="AT27" s="65"/>
      <c r="AU27" s="58"/>
      <c r="AV27" s="58"/>
      <c r="AW27" s="58"/>
      <c r="AX27" s="128"/>
      <c r="AY27" s="61"/>
      <c r="AZ27" s="58"/>
      <c r="BA27" s="58"/>
      <c r="BB27" s="58"/>
      <c r="BC27" s="58"/>
      <c r="BD27" s="129" t="s">
        <v>81</v>
      </c>
      <c r="BJ27" s="109">
        <f t="shared" si="5"/>
        <v>0</v>
      </c>
      <c r="BK27" s="91">
        <f t="shared" si="6"/>
        <v>200000</v>
      </c>
      <c r="BM27" s="92"/>
      <c r="BN27" s="100">
        <v>0.0</v>
      </c>
      <c r="BO27" s="94">
        <f>200000*(10^(AP36+BN27))</f>
        <v>200000</v>
      </c>
      <c r="BP27" s="165">
        <f>IF(BN27&lt;1, 0, IF(InnovationLevel&lt;2, IF(OR(InnovationLevel&lt;1, InnovationIsUpgrading=False), "Error - Innovation 2 Not Yet Unlocked", StorageLocker!C24 ), StorageLocker!C24 ) )</f>
        <v>0</v>
      </c>
      <c r="BV27" s="169">
        <f>IF(OR(BN27&gt;0, BN24), ((1+(0.04*(AP36+BN27)))^AR52)^(1+((InnovationLevel+BN24)*0.1)-0.1)/AU36, ((1+(0.04*(AP36+1)))^AR52)^(1+((InnovationLevel)*0.1)-0.1)/AU36)</f>
        <v>34.11933334</v>
      </c>
      <c r="BY27" s="92"/>
      <c r="BZ27" s="58"/>
      <c r="CA27" s="58"/>
      <c r="CB27" s="58"/>
      <c r="CC27" s="58"/>
    </row>
    <row r="28">
      <c r="A28" s="58"/>
      <c r="B28" s="60"/>
      <c r="C28" s="61"/>
      <c r="D28" s="170"/>
      <c r="E28" s="170"/>
      <c r="F28" s="170"/>
      <c r="G28" s="170"/>
      <c r="H28" s="171" t="s">
        <v>165</v>
      </c>
      <c r="I28" s="15"/>
      <c r="J28" s="15"/>
      <c r="K28" s="15"/>
      <c r="L28" s="15"/>
      <c r="M28" s="15"/>
      <c r="N28" s="15"/>
      <c r="O28" s="170"/>
      <c r="P28" s="170"/>
      <c r="Q28" s="170"/>
      <c r="R28" s="172"/>
      <c r="S28" s="61"/>
      <c r="T28" s="156"/>
      <c r="U28" s="70" t="str">
        <f>IF(Z24&gt;2, "RP Bonus", "--    ")</f>
        <v>--    </v>
      </c>
      <c r="Z28" s="141">
        <v>0.0</v>
      </c>
      <c r="AA28" s="58"/>
      <c r="AB28" s="142">
        <f>500*(1.9^Z28)*MAX(1.1^(Z28-14), 1)*MAX(1.2^(Z28-29), 1)*MAX(1.3^(Z28-39), 1)</f>
        <v>500</v>
      </c>
      <c r="AE28" s="143">
        <f>(8^Z28)^(1+(ExodusLevel*0.1)-0.1)</f>
        <v>1</v>
      </c>
      <c r="AH28" s="167"/>
      <c r="AI28" s="61"/>
      <c r="AJ28" s="173"/>
      <c r="AK28" s="173"/>
      <c r="AL28" s="173"/>
      <c r="AM28" s="173"/>
      <c r="AN28" s="174" t="s">
        <v>165</v>
      </c>
      <c r="AO28" s="15"/>
      <c r="AP28" s="15"/>
      <c r="AQ28" s="15"/>
      <c r="AR28" s="15"/>
      <c r="AS28" s="15"/>
      <c r="AT28" s="15"/>
      <c r="AU28" s="173"/>
      <c r="AV28" s="173"/>
      <c r="AW28" s="173"/>
      <c r="AX28" s="175"/>
      <c r="AY28" s="61"/>
      <c r="AZ28" s="58"/>
      <c r="BA28" s="58"/>
      <c r="BB28" s="58"/>
      <c r="BC28" s="58"/>
      <c r="BD28" s="96" t="s">
        <v>136</v>
      </c>
      <c r="BJ28" s="97">
        <f t="shared" si="5"/>
        <v>0</v>
      </c>
      <c r="BK28" s="98">
        <f t="shared" si="6"/>
        <v>3000000</v>
      </c>
      <c r="BM28" s="99"/>
      <c r="BN28" s="100">
        <v>0.0</v>
      </c>
      <c r="BO28" s="139">
        <f>3000000*(10^(AP37+BN28))</f>
        <v>3000000</v>
      </c>
      <c r="BP28" s="168">
        <f>IF(BN28&lt;1, 0, IF(InnovationLevel&lt;2, IF(OR(InnovationLevel&lt;1, InnovationIsUpgrading=False), "Error - Innovation 2 Not Yet Unlocked", StorageLocker!C25 ), StorageLocker!C25 ) )</f>
        <v>0</v>
      </c>
      <c r="BV28" s="176">
        <f>IF(OR(BN28&gt;0, BN24), ((1+(0.04*(AP37+BN28)))^AR52)^(1+((InnovationLevel+BN24)*0.1)-0.1)/AU37, ((1+(0.04*(AP37+1)))^AR52)^(1+((InnovationLevel)*0.1)-0.1)/AU37)</f>
        <v>34.11933334</v>
      </c>
      <c r="BY28" s="99"/>
      <c r="BZ28" s="58"/>
      <c r="CA28" s="58"/>
      <c r="CB28" s="58"/>
      <c r="CC28" s="58"/>
    </row>
    <row r="29">
      <c r="A29" s="58"/>
      <c r="B29" s="60"/>
      <c r="C29" s="105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61"/>
      <c r="T29" s="156"/>
      <c r="U29" s="58"/>
      <c r="V29" s="70" t="str">
        <f>IF(Z24&gt;3, "MP Bonus", "--    ")</f>
        <v>--    </v>
      </c>
      <c r="Z29" s="141">
        <v>0.0</v>
      </c>
      <c r="AA29" s="58"/>
      <c r="AB29" s="142">
        <f>10000*(2^Z29)*MAX(1.1^(Z29-14), 1)</f>
        <v>10000</v>
      </c>
      <c r="AE29" s="177">
        <f>(4^Z29)^(1+(Z24*0.1)-0.1)</f>
        <v>1</v>
      </c>
      <c r="AH29" s="167"/>
      <c r="AI29" s="105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61"/>
      <c r="AZ29" s="58"/>
      <c r="BA29" s="65"/>
      <c r="BB29" s="58"/>
      <c r="BC29" s="58"/>
      <c r="BD29" s="129" t="s">
        <v>71</v>
      </c>
      <c r="BJ29" s="109">
        <f t="shared" si="5"/>
        <v>0</v>
      </c>
      <c r="BK29" s="91">
        <f t="shared" si="6"/>
        <v>40000000</v>
      </c>
      <c r="BM29" s="92"/>
      <c r="BN29" s="100">
        <v>0.0</v>
      </c>
      <c r="BO29" s="94">
        <f>40000000*(10^(AP38+BN29))</f>
        <v>40000000</v>
      </c>
      <c r="BP29" s="165">
        <f>IF(BN29&lt;1, 0, IF(InnovationLevel&lt;2, IF(OR(InnovationLevel&lt;1, InnovationIsUpgrading=False), "Error - Innovation 2 Not Yet Unlocked", StorageLocker!C26 ), StorageLocker!C26 ) )</f>
        <v>0</v>
      </c>
      <c r="BV29" s="178">
        <f>IF(OR(BN29&gt;0, BN24), ((1+(0.04*(AP38+BN29)))^AR52)^(1+((InnovationLevel+BN24)*0.1)-0.1)/AU38, ((1+(0.04*(AP38+1)))^AR52)^(1+((InnovationLevel)*0.1)-0.1)/AU38)</f>
        <v>34.11933334</v>
      </c>
      <c r="BY29" s="92"/>
      <c r="BZ29" s="58"/>
      <c r="CA29" s="58"/>
      <c r="CB29" s="58"/>
      <c r="CC29" s="58"/>
    </row>
    <row r="30">
      <c r="A30" s="58"/>
      <c r="B30" s="60"/>
      <c r="C30" s="61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79"/>
      <c r="S30" s="61"/>
      <c r="T30" s="156"/>
      <c r="U30" s="58"/>
      <c r="V30" s="70" t="str">
        <f>IF(Z24&gt;3, "AP Bonus", "--    ")</f>
        <v>--    </v>
      </c>
      <c r="Z30" s="141">
        <v>0.0</v>
      </c>
      <c r="AA30" s="58"/>
      <c r="AB30" s="142">
        <f>1000000*(2.1^Z30)</f>
        <v>1000000</v>
      </c>
      <c r="AE30" s="177">
        <f>(1.6^Z30)^(1+(Z24*0.1)-0.1)</f>
        <v>1</v>
      </c>
      <c r="AH30" s="167"/>
      <c r="AI30" s="61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1"/>
      <c r="AY30" s="61"/>
      <c r="AZ30" s="58"/>
      <c r="BA30" s="58"/>
      <c r="BB30" s="58"/>
      <c r="BC30" s="58"/>
      <c r="BD30" s="118" t="s">
        <v>86</v>
      </c>
      <c r="BJ30" s="97">
        <f t="shared" si="5"/>
        <v>0</v>
      </c>
      <c r="BK30" s="98">
        <f t="shared" si="6"/>
        <v>500000000</v>
      </c>
      <c r="BM30" s="99"/>
      <c r="BN30" s="100">
        <v>0.0</v>
      </c>
      <c r="BO30" s="139">
        <f>500000000*(10^(AP39+BN30))</f>
        <v>500000000</v>
      </c>
      <c r="BP30" s="168">
        <f>IF(BN30&lt;1, 0, IF(InnovationLevel&lt;2, IF(OR(InnovationLevel&lt;1, InnovationIsUpgrading=False), "Error - Innovation 2 Not Yet Unlocked", StorageLocker!C27 ), StorageLocker!C27 ) )</f>
        <v>0</v>
      </c>
      <c r="BV30" s="176">
        <f>IF(OR(BN30&gt;0, BN24), ((1+(0.04*(AP39+BN30)))^AR52)^(1+((InnovationLevel+BN24)*0.1)-0.1)/AU39, ((1+(0.04*(AP39+1)))^AR52)^(1+((InnovationLevel)*0.1)-0.1)/AU39)</f>
        <v>34.11933334</v>
      </c>
      <c r="BY30" s="99"/>
      <c r="BZ30" s="58"/>
      <c r="CA30" s="58"/>
      <c r="CB30" s="58"/>
      <c r="CC30" s="58"/>
    </row>
    <row r="31">
      <c r="A31" s="58"/>
      <c r="B31" s="60"/>
      <c r="C31" s="61"/>
      <c r="D31" s="155"/>
      <c r="E31" s="58"/>
      <c r="F31" s="68" t="s">
        <v>170</v>
      </c>
      <c r="Q31" s="58"/>
      <c r="R31" s="179"/>
      <c r="S31" s="61"/>
      <c r="T31" s="156"/>
      <c r="U31" s="58"/>
      <c r="V31" s="58"/>
      <c r="W31" s="58"/>
      <c r="X31" s="58"/>
      <c r="Y31" s="58"/>
      <c r="Z31" s="58"/>
      <c r="AA31" s="58"/>
      <c r="AB31" s="87"/>
      <c r="AC31" s="87"/>
      <c r="AD31" s="87"/>
      <c r="AE31" s="143"/>
      <c r="AF31" s="143"/>
      <c r="AG31" s="143"/>
      <c r="AH31" s="167"/>
      <c r="AI31" s="61"/>
      <c r="AJ31" s="180"/>
      <c r="AK31" s="58"/>
      <c r="AL31" s="68" t="s">
        <v>169</v>
      </c>
      <c r="AW31" s="58"/>
      <c r="AX31" s="181"/>
      <c r="AY31" s="61"/>
      <c r="AZ31" s="58"/>
      <c r="BA31" s="58"/>
      <c r="BB31" s="58"/>
      <c r="BC31" s="58"/>
      <c r="BD31" s="182"/>
      <c r="BJ31" s="134"/>
      <c r="BK31" s="183"/>
      <c r="BM31" s="92"/>
      <c r="BN31" s="133"/>
      <c r="BO31" s="184"/>
      <c r="BP31" s="110"/>
      <c r="BV31" s="185"/>
      <c r="BY31" s="92"/>
      <c r="BZ31" s="58"/>
      <c r="CA31" s="58"/>
      <c r="CB31" s="58"/>
      <c r="CC31" s="58"/>
    </row>
    <row r="32">
      <c r="A32" s="58"/>
      <c r="B32" s="60"/>
      <c r="C32" s="61"/>
      <c r="D32" s="155"/>
      <c r="E32" s="58"/>
      <c r="F32" s="58"/>
      <c r="G32" s="70" t="s">
        <v>111</v>
      </c>
      <c r="J32" s="131">
        <v>0.0</v>
      </c>
      <c r="L32" s="73">
        <f>IF(J32=0, 30, IF(J32=1, 150, IF(J32=2, 1000, "MAX")))</f>
        <v>30</v>
      </c>
      <c r="O32" s="58"/>
      <c r="P32" s="58"/>
      <c r="Q32" s="58"/>
      <c r="R32" s="179"/>
      <c r="S32" s="61"/>
      <c r="T32" s="156"/>
      <c r="U32" s="65"/>
      <c r="V32" s="65"/>
      <c r="W32" s="65"/>
      <c r="X32" s="70"/>
      <c r="Y32" s="186"/>
      <c r="Z32" s="70"/>
      <c r="AA32" s="186"/>
      <c r="AB32" s="70"/>
      <c r="AC32" s="186"/>
      <c r="AD32" s="65"/>
      <c r="AE32" s="187"/>
      <c r="AF32" s="187"/>
      <c r="AG32" s="187"/>
      <c r="AH32" s="167"/>
      <c r="AI32" s="61"/>
      <c r="AJ32" s="180"/>
      <c r="AK32" s="58"/>
      <c r="AL32" s="58"/>
      <c r="AM32" s="70" t="s">
        <v>111</v>
      </c>
      <c r="AP32" s="131">
        <v>0.0</v>
      </c>
      <c r="AR32" s="73">
        <f>IF(AP32=0, 12, IF(AP32=1, 10000000000, "MAX"))</f>
        <v>12</v>
      </c>
      <c r="AU32" s="58"/>
      <c r="AV32" s="58"/>
      <c r="AW32" s="58"/>
      <c r="AX32" s="181"/>
      <c r="AY32" s="61"/>
      <c r="AZ32" s="58"/>
      <c r="BA32" s="58"/>
      <c r="BB32" s="58"/>
      <c r="BC32" s="58"/>
      <c r="BD32" s="137" t="s">
        <v>170</v>
      </c>
      <c r="BJ32" s="138">
        <f>J32</f>
        <v>0</v>
      </c>
      <c r="BK32" s="98">
        <f>L32</f>
        <v>30</v>
      </c>
      <c r="BM32" s="99"/>
      <c r="BN32" s="93" t="b">
        <v>0</v>
      </c>
      <c r="BO32" s="139"/>
      <c r="BP32" s="188">
        <f>IF(AttractionIsUpgrading,
    SWITCH(AttractionLevel,
        0, IF(TemporalityLevel&lt;2,
            IF(AND(TemporalityLevel=1,TemporalityIsUpgrading),
                StorageLocker!C30,
                "Error - Temporal 2 Not Yet Unlocked"
            ),
            StorageLocker!C30
        ),
        2, IF(CreationLevel&lt;1,
            IF(AND(CreationLevel=0,CreationIsUpgrading),
                StorageLocker!C30,
                "Error - Creation 1 Not Yet Unlocked"
            ),
            StorageLocker!C30
        ),
        StorageLocker!C30
    ),
    StorageLocker!C30
)</f>
        <v>0</v>
      </c>
      <c r="BY32" s="99"/>
      <c r="BZ32" s="58"/>
      <c r="CA32" s="58"/>
      <c r="CB32" s="58"/>
      <c r="CC32" s="58"/>
    </row>
    <row r="33">
      <c r="A33" s="58"/>
      <c r="B33" s="60"/>
      <c r="C33" s="61"/>
      <c r="D33" s="155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179"/>
      <c r="S33" s="61"/>
      <c r="T33" s="157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179"/>
      <c r="AI33" s="61"/>
      <c r="AJ33" s="180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181"/>
      <c r="AY33" s="61"/>
      <c r="AZ33" s="58"/>
      <c r="BA33" s="58"/>
      <c r="BB33" s="58"/>
      <c r="BC33" s="58"/>
      <c r="BD33" s="108" t="s">
        <v>126</v>
      </c>
      <c r="BJ33" s="109">
        <f t="shared" ref="BJ33:BJ35" si="7">J34</f>
        <v>0</v>
      </c>
      <c r="BK33" s="91">
        <f t="shared" ref="BK33:BK35" si="8">L34</f>
        <v>5</v>
      </c>
      <c r="BM33" s="92"/>
      <c r="BN33" s="100">
        <v>0.0</v>
      </c>
      <c r="BO33" s="94">
        <f>5*(2.5^(J34+BN33))*MAX(1.2^(J34+BN33-9),1)*MAX(1.3^(J34+BN33-19),1)*MAX(1.4^(J34+BN33-29),1)*MAX(2^(J34+BN33-39),1)</f>
        <v>5</v>
      </c>
      <c r="BP33" s="144">
        <f>IF(BN33&lt;1,
    0,
    IF(AttractionLevel&lt;1,
        IF(AttractionIsUpgrading=False,
            "Error - Attraction 1 Not Yet Unlocked",
            StorageLocker!C31
        ),
        StorageLocker!C31
    )
)</f>
        <v>0</v>
      </c>
      <c r="BV33" s="113">
        <f>IF(OR(BN33&gt;0, BN32), ((1.07^(BN33+BJ33))^(1+((AttractionLevel+BN32)*0.1)-0.1))/O34, (1.07^(1))^(1+((AttractionLevel+BN32)*0.1)-0.1))</f>
        <v>1.06278496</v>
      </c>
      <c r="BY33" s="92"/>
      <c r="BZ33" s="58"/>
      <c r="CA33" s="58"/>
      <c r="CB33" s="58"/>
      <c r="CC33" s="58"/>
    </row>
    <row r="34">
      <c r="A34" s="58"/>
      <c r="B34" s="60"/>
      <c r="C34" s="61"/>
      <c r="D34" s="155"/>
      <c r="E34" s="70" t="str">
        <f>IF(J32&gt;0, "Borge Loot", "--    ")</f>
        <v>--    </v>
      </c>
      <c r="J34" s="141">
        <v>0.0</v>
      </c>
      <c r="K34" s="58"/>
      <c r="L34" s="142">
        <f>5*(2.5^J34)*MAX(1.2^(J34-9),1)*MAX(1.3^(J34-19),1)*MAX(1.4^(J34-29),1)*MAX(2^(J34-39),1)</f>
        <v>5</v>
      </c>
      <c r="O34" s="143">
        <f>(1.07^J34)^(1+(AttractionLevel*0.1)-0.1)</f>
        <v>1</v>
      </c>
      <c r="R34" s="179"/>
      <c r="S34" s="61"/>
      <c r="T34" s="157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179"/>
      <c r="AI34" s="61"/>
      <c r="AJ34" s="180"/>
      <c r="AK34" s="70" t="str">
        <f>IF(AP32&gt;0, "Studies/Study", "--    ")</f>
        <v>--    </v>
      </c>
      <c r="AP34" s="141">
        <v>0.0</v>
      </c>
      <c r="AQ34" s="58"/>
      <c r="AR34" s="142">
        <f>3*(2^AP34)*MAX(1.1^(AP34-9),1)*MAX(1.2^(AP34-19),1)*MAX(1.3^(AP34-29),1)*MAX(1.4^(AP34-39),1)</f>
        <v>3</v>
      </c>
      <c r="AU34" s="189">
        <f>FLOOR((2*AP34)^(1+(InnovationLevel*0.1)-0.1),1)</f>
        <v>0</v>
      </c>
      <c r="AX34" s="181"/>
      <c r="AY34" s="61"/>
      <c r="AZ34" s="58"/>
      <c r="BA34" s="58"/>
      <c r="BB34" s="58"/>
      <c r="BC34" s="58"/>
      <c r="BD34" s="96" t="s">
        <v>127</v>
      </c>
      <c r="BJ34" s="97">
        <f t="shared" si="7"/>
        <v>0</v>
      </c>
      <c r="BK34" s="98">
        <f t="shared" si="8"/>
        <v>20</v>
      </c>
      <c r="BM34" s="99"/>
      <c r="BN34" s="100">
        <v>0.0</v>
      </c>
      <c r="BO34" s="139">
        <f>20*(2.5^(J35+BN34))*MAX(1.3^(J35+BN34-9), 1)*MAX(1.4^(J35+BN34-19), 1)*MAX(1.5^(J35+BN34-29), 1)*MAX(1.5^(J35+BN34-39), 1)</f>
        <v>20</v>
      </c>
      <c r="BP34" s="146">
        <f>IF(BN34&lt;1,
    0,
    IF(AND(AttractionLevel&lt;2),
        IF(OR(AttractionIsUpgrading=False, AttractionLevel &lt; 1),
            "Error - Attraction 2 Not Yet Unlocked",
            StorageLocker!C32
        ),
        StorageLocker!C32
    )
)</f>
        <v>0</v>
      </c>
      <c r="BV34" s="123">
        <f>IF(OR(BN34&gt;0, BN32), ((1.04^(BN34+BJ34))^(1+((AttractionLevel+BN32)*0.1)-0.1))/O35, (1.04^(1))^(1+((AttractionLevel+BN32)*0.1)-0.1))</f>
        <v>1.035929034</v>
      </c>
      <c r="BY34" s="99"/>
      <c r="BZ34" s="58"/>
      <c r="CA34" s="58"/>
      <c r="CB34" s="58"/>
      <c r="CC34" s="58"/>
    </row>
    <row r="35">
      <c r="A35" s="58"/>
      <c r="B35" s="60"/>
      <c r="C35" s="61"/>
      <c r="D35" s="155"/>
      <c r="E35" s="70" t="str">
        <f>IF(J32&gt;1, "Ozzy Loot", "--    ")</f>
        <v>--    </v>
      </c>
      <c r="J35" s="141">
        <v>0.0</v>
      </c>
      <c r="K35" s="58"/>
      <c r="L35" s="142">
        <f>20*(2.5^J35)*MAX(1.3^(J35-9), 1)*MAX(1.4^(J35-19), 1)*MAX(1.5^(J35-29), 1)*MAX(1.5^(J35-39), 1)</f>
        <v>20</v>
      </c>
      <c r="O35" s="143">
        <f>(1.04^J35)^(1+(AttractionLevel*0.1)-0.1)</f>
        <v>1</v>
      </c>
      <c r="R35" s="179"/>
      <c r="S35" s="61"/>
      <c r="T35" s="157"/>
      <c r="U35" s="58"/>
      <c r="V35" s="58"/>
      <c r="W35" s="58"/>
      <c r="X35" s="190"/>
      <c r="AE35" s="58"/>
      <c r="AF35" s="58"/>
      <c r="AG35" s="58"/>
      <c r="AH35" s="179"/>
      <c r="AI35" s="61"/>
      <c r="AJ35" s="180"/>
      <c r="AK35" s="70" t="str">
        <f>IF($AP$32&gt;1, "Cells Bonus", "--    ")</f>
        <v>--    </v>
      </c>
      <c r="AP35" s="141">
        <v>0.0</v>
      </c>
      <c r="AQ35" s="58"/>
      <c r="AR35" s="142">
        <f>1000*(10^AP35)</f>
        <v>1000</v>
      </c>
      <c r="AU35" s="143">
        <f>((1+(0.06*AP35))^AR52)^(1+(InnovationLevel*0.1)-0.1)</f>
        <v>1</v>
      </c>
      <c r="AX35" s="181"/>
      <c r="AY35" s="61"/>
      <c r="AZ35" s="58"/>
      <c r="BA35" s="58"/>
      <c r="BB35" s="58"/>
      <c r="BC35" s="58"/>
      <c r="BD35" s="108" t="s">
        <v>128</v>
      </c>
      <c r="BJ35" s="109">
        <f t="shared" si="7"/>
        <v>0</v>
      </c>
      <c r="BK35" s="91">
        <f t="shared" si="8"/>
        <v>1</v>
      </c>
      <c r="BM35" s="92"/>
      <c r="BN35" s="100">
        <v>0.0</v>
      </c>
      <c r="BO35" s="94">
        <f>1*(100^(J36+BN35))</f>
        <v>1</v>
      </c>
      <c r="BP35" s="144">
        <f>IF(BN35&lt;1,
    0,
    IF(AND(AttractionLevel&lt;3),
        IF(OR(AttractionIsUpgrading=False, AttractionLevel &lt; 2),
            "Error - Attraction 3 Not Yet Unlocked",
            StorageLocker!C33
        ),
        StorageLocker!C33
    )
)</f>
        <v>0</v>
      </c>
      <c r="BV35" s="130">
        <f>IF(OR(BN35&gt;0, BN32), ((1.08^(BN35+BJ35))^(1+((AttractionLevel+BN32)*0.1)-0.1))/O36, (1.08^(1))^(1+((AttractionLevel+BN32)*0.1)-0.1))</f>
        <v>1.07172011</v>
      </c>
      <c r="BY35" s="92"/>
      <c r="BZ35" s="58"/>
      <c r="CA35" s="58"/>
      <c r="CB35" s="58"/>
      <c r="CC35" s="58"/>
    </row>
    <row r="36">
      <c r="A36" s="58"/>
      <c r="B36" s="60"/>
      <c r="C36" s="61"/>
      <c r="D36" s="155"/>
      <c r="E36" s="70" t="str">
        <f>IF(J32&gt;2, "Catch-Up Power", "--    ")</f>
        <v>--    </v>
      </c>
      <c r="J36" s="141">
        <v>0.0</v>
      </c>
      <c r="K36" s="58"/>
      <c r="L36" s="142">
        <f>1*(100^J36)</f>
        <v>1</v>
      </c>
      <c r="O36" s="143">
        <f>(1.08^J36)^(1+(AttractionLevel*0.1)-0.1)</f>
        <v>1</v>
      </c>
      <c r="R36" s="179"/>
      <c r="S36" s="61"/>
      <c r="T36" s="191"/>
      <c r="U36" s="191"/>
      <c r="V36" s="191"/>
      <c r="W36" s="191"/>
      <c r="X36" s="192"/>
      <c r="Y36" s="192"/>
      <c r="Z36" s="192"/>
      <c r="AA36" s="192"/>
      <c r="AB36" s="192"/>
      <c r="AC36" s="192"/>
      <c r="AD36" s="192"/>
      <c r="AE36" s="193"/>
      <c r="AF36" s="193"/>
      <c r="AG36" s="193"/>
      <c r="AH36" s="194"/>
      <c r="AI36" s="61"/>
      <c r="AJ36" s="180"/>
      <c r="AK36" s="70" t="str">
        <f>IF($AP$32&gt;1, "MP Bonus", "--    ")</f>
        <v>--    </v>
      </c>
      <c r="AP36" s="141">
        <v>0.0</v>
      </c>
      <c r="AQ36" s="58"/>
      <c r="AR36" s="142">
        <f>200000*(10^AP36)</f>
        <v>200000</v>
      </c>
      <c r="AU36" s="143">
        <f>((1+(0.04*AP36))^AR52)^(1+(InnovationLevel*0.1)-0.1)</f>
        <v>1</v>
      </c>
      <c r="AX36" s="181"/>
      <c r="AY36" s="61"/>
      <c r="AZ36" s="58"/>
      <c r="BA36" s="58"/>
      <c r="BB36" s="58"/>
      <c r="BC36" s="58"/>
      <c r="BD36" s="195"/>
      <c r="BK36" s="195"/>
      <c r="BM36" s="99"/>
      <c r="BN36" s="196"/>
      <c r="BO36" s="197"/>
      <c r="BP36" s="196"/>
      <c r="BV36" s="196"/>
      <c r="BY36" s="99"/>
      <c r="BZ36" s="58"/>
      <c r="CA36" s="58"/>
      <c r="CB36" s="58"/>
      <c r="CC36" s="58"/>
    </row>
    <row r="37">
      <c r="A37" s="58"/>
      <c r="B37" s="60"/>
      <c r="C37" s="61"/>
      <c r="D37" s="155"/>
      <c r="E37" s="58"/>
      <c r="F37" s="58"/>
      <c r="G37" s="58"/>
      <c r="H37" s="58"/>
      <c r="I37" s="58"/>
      <c r="J37" s="58"/>
      <c r="K37" s="58"/>
      <c r="L37" s="87"/>
      <c r="M37" s="87"/>
      <c r="N37" s="87"/>
      <c r="O37" s="143"/>
      <c r="P37" s="143"/>
      <c r="Q37" s="143"/>
      <c r="R37" s="179"/>
      <c r="S37" s="105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61"/>
      <c r="AJ37" s="180"/>
      <c r="AK37" s="70" t="str">
        <f>IF($AP$32&gt;1, "Shards Bonus", "--    ")</f>
        <v>--    </v>
      </c>
      <c r="AP37" s="141">
        <v>0.0</v>
      </c>
      <c r="AQ37" s="58"/>
      <c r="AR37" s="142">
        <f>3000000*(10^AP37)</f>
        <v>3000000</v>
      </c>
      <c r="AU37" s="143">
        <f>((1+(0.04*AP37))^AR52)^(1+(InnovationLevel*0.1)-0.1)</f>
        <v>1</v>
      </c>
      <c r="AX37" s="181"/>
      <c r="AY37" s="61"/>
      <c r="AZ37" s="58"/>
      <c r="BA37" s="58"/>
      <c r="BB37" s="58"/>
      <c r="BC37" s="65"/>
      <c r="BD37" s="89" t="s">
        <v>144</v>
      </c>
      <c r="BJ37" s="198">
        <f>J15</f>
        <v>0</v>
      </c>
      <c r="BK37" s="91">
        <f>L15</f>
        <v>555</v>
      </c>
      <c r="BM37" s="92"/>
      <c r="BN37" s="93" t="b">
        <v>0</v>
      </c>
      <c r="BO37" s="94"/>
      <c r="BP37" s="95">
        <f>IF(CreationIsUpgrading,
    SWITCH(CreationLevel,
        0,
        IF(AttractionLevel&lt;2,
            IF(AND(AttractionLevel=1,AttractionIsUpgrading),
                StorageLocker!C36,
                "Error - Attraction 2 Not Yet Unlocked"
            ), 
            StorageLocker!C36
        ),
        1,
        IF(ExodusLevel&lt;3,
            IF(AND(ExodusLevel=2,ExodusIsUpgrading),
                StorageLocker!C36,
                "Error - Exodus 3 Not Yet Unlocked"
            ), 
            StorageLocker!C36
        ),
        StorageLocker!C36
    ),
    StorageLocker!C36
)</f>
        <v>0</v>
      </c>
      <c r="BY37" s="92"/>
      <c r="BZ37" s="58"/>
      <c r="CA37" s="58"/>
      <c r="CB37" s="58"/>
      <c r="CC37" s="58"/>
    </row>
    <row r="38">
      <c r="A38" s="58"/>
      <c r="B38" s="60"/>
      <c r="C38" s="61"/>
      <c r="D38" s="155"/>
      <c r="E38" s="58"/>
      <c r="F38" s="58"/>
      <c r="G38" s="58"/>
      <c r="H38" s="58"/>
      <c r="I38" s="58"/>
      <c r="J38" s="58"/>
      <c r="K38" s="58"/>
      <c r="L38" s="87"/>
      <c r="M38" s="87"/>
      <c r="N38" s="87"/>
      <c r="O38" s="143"/>
      <c r="P38" s="143"/>
      <c r="Q38" s="143"/>
      <c r="R38" s="179"/>
      <c r="S38" s="61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8"/>
      <c r="AI38" s="61"/>
      <c r="AJ38" s="180"/>
      <c r="AK38" s="70" t="str">
        <f>IF($AP$32&gt;1, "RP Bonus", "--    ")</f>
        <v>--    </v>
      </c>
      <c r="AP38" s="141">
        <v>0.0</v>
      </c>
      <c r="AQ38" s="58"/>
      <c r="AR38" s="142">
        <f>40000000*(10^AP38)</f>
        <v>40000000</v>
      </c>
      <c r="AU38" s="199">
        <f>((1+(0.04*AP38))^AR52)^(1+(InnovationLevel*0.1)-0.1)</f>
        <v>1</v>
      </c>
      <c r="AX38" s="181"/>
      <c r="AY38" s="61"/>
      <c r="AZ38" s="58"/>
      <c r="BA38" s="58"/>
      <c r="BB38" s="58"/>
      <c r="BC38" s="65"/>
      <c r="BD38" s="96" t="s">
        <v>171</v>
      </c>
      <c r="BJ38" s="97">
        <f t="shared" ref="BJ38:BJ44" si="9">J17</f>
        <v>0</v>
      </c>
      <c r="BK38" s="98">
        <f t="shared" ref="BK38:BK44" si="10">L17</f>
        <v>1</v>
      </c>
      <c r="BM38" s="99"/>
      <c r="BN38" s="100">
        <v>0.0</v>
      </c>
      <c r="BO38" s="139">
        <f>1*(10^(J17+BN38))</f>
        <v>1</v>
      </c>
      <c r="BP38" s="146">
        <f>IF(BN38&lt;1,
    0,
    IF(CreationLevel&lt;1,
        IF(CreationIsUpgrading=False,
            "Error - Creation 1 Not Yet Unlocked",
            StorageLocker!C37
        ),
        StorageLocker!C37
    )
)</f>
        <v>0</v>
      </c>
      <c r="BV38" s="123">
        <f>IF(OR(BN38&gt;0, BN37), ((100000000^(BN38+BJ38))^(1+((CreationLevel+BN37)*0.1)-0.1))/O17, (100000000^(1))^(1+((CreationLevel+BN37)*0.1)-0.1))</f>
        <v>15848931.92</v>
      </c>
      <c r="BY38" s="99"/>
      <c r="BZ38" s="58"/>
      <c r="CA38" s="58"/>
      <c r="CB38" s="58"/>
      <c r="CC38" s="58"/>
    </row>
    <row r="39">
      <c r="A39" s="58"/>
      <c r="B39" s="60"/>
      <c r="C39" s="61"/>
      <c r="D39" s="155"/>
      <c r="E39" s="58"/>
      <c r="F39" s="58"/>
      <c r="G39" s="58"/>
      <c r="H39" s="58"/>
      <c r="I39" s="58"/>
      <c r="J39" s="58"/>
      <c r="K39" s="58"/>
      <c r="L39" s="87"/>
      <c r="M39" s="87"/>
      <c r="N39" s="87"/>
      <c r="O39" s="143"/>
      <c r="P39" s="143"/>
      <c r="Q39" s="143"/>
      <c r="R39" s="179"/>
      <c r="S39" s="61"/>
      <c r="T39" s="157"/>
      <c r="U39" s="58"/>
      <c r="V39" s="68" t="s">
        <v>172</v>
      </c>
      <c r="AG39" s="58"/>
      <c r="AH39" s="158"/>
      <c r="AI39" s="61"/>
      <c r="AJ39" s="180"/>
      <c r="AK39" s="70" t="str">
        <f>IF($AP$32&gt;1, "AP Bonus", "--    ")</f>
        <v>--    </v>
      </c>
      <c r="AP39" s="141">
        <v>0.0</v>
      </c>
      <c r="AQ39" s="58"/>
      <c r="AR39" s="142">
        <f>500000000*(10^AP39)</f>
        <v>500000000</v>
      </c>
      <c r="AU39" s="143">
        <f>((1+(0.04*AP39))^AR52)^(1+(InnovationLevel*0.1)-0.1)</f>
        <v>1</v>
      </c>
      <c r="AX39" s="181"/>
      <c r="AY39" s="61"/>
      <c r="AZ39" s="58"/>
      <c r="BA39" s="58"/>
      <c r="BB39" s="58"/>
      <c r="BC39" s="65"/>
      <c r="BD39" s="129" t="s">
        <v>133</v>
      </c>
      <c r="BJ39" s="133">
        <f t="shared" si="9"/>
        <v>0</v>
      </c>
      <c r="BK39" s="91">
        <f t="shared" si="10"/>
        <v>1000</v>
      </c>
      <c r="BM39" s="92"/>
      <c r="BN39" s="100">
        <v>0.0</v>
      </c>
      <c r="BO39" s="94">
        <f>1000*(3^(J18+BN39))</f>
        <v>1000</v>
      </c>
      <c r="BP39" s="144">
        <f>IF(BN39&lt;1,
    0,
    IF(CreationLevel&lt;2,
        IF(OR(CreationIsUpgrading=False, CreationLevel&lt;1),
            "Error - Creation 2 Not Yet Unlocked",
            StorageLocker!C38
        ),
        StorageLocker!C38
    )
)</f>
        <v>0</v>
      </c>
      <c r="BV39" s="113">
        <f>IF(OR(BN39&gt;0, BN37), ((10^(BJ39+BN39))^(1+((CreationLevel+BN37)*0.1)-0.1))/O18, (10^1)^(1+((CreationLevel+BN37)*0.1)-0.1))</f>
        <v>7.943282347</v>
      </c>
      <c r="BY39" s="92"/>
      <c r="BZ39" s="58"/>
      <c r="CA39" s="58"/>
      <c r="CB39" s="58"/>
      <c r="CC39" s="58"/>
    </row>
    <row r="40">
      <c r="A40" s="58"/>
      <c r="B40" s="60"/>
      <c r="C40" s="61"/>
      <c r="D40" s="155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187"/>
      <c r="P40" s="187"/>
      <c r="Q40" s="187"/>
      <c r="R40" s="179"/>
      <c r="S40" s="61"/>
      <c r="T40" s="157"/>
      <c r="U40" s="58"/>
      <c r="V40" s="58"/>
      <c r="W40" s="70" t="s">
        <v>111</v>
      </c>
      <c r="Z40" s="131">
        <v>0.0</v>
      </c>
      <c r="AB40" s="73">
        <f>IF(Z40=0, 150000000, "MAX")</f>
        <v>150000000</v>
      </c>
      <c r="AE40" s="58"/>
      <c r="AF40" s="58"/>
      <c r="AG40" s="58"/>
      <c r="AH40" s="158"/>
      <c r="AI40" s="61"/>
      <c r="AJ40" s="180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143"/>
      <c r="AV40" s="143"/>
      <c r="AW40" s="143"/>
      <c r="AX40" s="181"/>
      <c r="AY40" s="61"/>
      <c r="AZ40" s="58"/>
      <c r="BA40" s="58"/>
      <c r="BB40" s="58"/>
      <c r="BC40" s="65"/>
      <c r="BD40" s="118" t="s">
        <v>134</v>
      </c>
      <c r="BJ40" s="200">
        <f t="shared" si="9"/>
        <v>0</v>
      </c>
      <c r="BK40" s="98">
        <f t="shared" si="10"/>
        <v>10000</v>
      </c>
      <c r="BM40" s="99"/>
      <c r="BN40" s="100">
        <v>0.0</v>
      </c>
      <c r="BO40" s="139">
        <f>10000*(4^(J19+BN40))</f>
        <v>10000</v>
      </c>
      <c r="BP40" s="146">
        <f>IF(BN40&lt;1,
    0,
    IF(CreationLevel&lt;2,
        IF(OR(CreationIsUpgrading=False, CreationLevel&lt;1),
            "Error - Creation 2 Not Yet Unlocked",
            StorageLocker!C39
        ),
        StorageLocker!C39
    )
)</f>
        <v>0</v>
      </c>
      <c r="BV40" s="123">
        <f>IF(OR(BN40&gt;0, BN37), ((50^(BJ40+BN40))^(1+((CreationLevel+BN37)*0.1)-0.1))/O19, (50^1)^(1+((CreationLevel+BN37)*0.1)-0.1))</f>
        <v>33.81216689</v>
      </c>
      <c r="BY40" s="99"/>
      <c r="BZ40" s="58"/>
      <c r="CA40" s="58"/>
      <c r="CB40" s="58"/>
      <c r="CC40" s="58"/>
    </row>
    <row r="41">
      <c r="A41" s="58"/>
      <c r="B41" s="60"/>
      <c r="C41" s="61"/>
      <c r="D41" s="155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187"/>
      <c r="P41" s="187"/>
      <c r="Q41" s="187"/>
      <c r="R41" s="179"/>
      <c r="S41" s="61"/>
      <c r="T41" s="157"/>
      <c r="U41" s="70"/>
      <c r="V41" s="70"/>
      <c r="W41" s="70"/>
      <c r="X41" s="70"/>
      <c r="Y41" s="70"/>
      <c r="Z41" s="70"/>
      <c r="AA41" s="58"/>
      <c r="AB41" s="86"/>
      <c r="AE41" s="187"/>
      <c r="AH41" s="158"/>
      <c r="AI41" s="61"/>
      <c r="AJ41" s="180"/>
      <c r="AK41" s="58"/>
      <c r="AL41" s="58"/>
      <c r="AM41" s="58"/>
      <c r="AN41" s="58"/>
      <c r="AO41" s="58"/>
      <c r="AP41" s="58"/>
      <c r="AQ41" s="58"/>
      <c r="AR41" s="87"/>
      <c r="AS41" s="87"/>
      <c r="AT41" s="87"/>
      <c r="AU41" s="187"/>
      <c r="AV41" s="187"/>
      <c r="AW41" s="187"/>
      <c r="AX41" s="181"/>
      <c r="AY41" s="61"/>
      <c r="AZ41" s="58"/>
      <c r="BA41" s="58"/>
      <c r="BB41" s="58"/>
      <c r="BC41" s="58"/>
      <c r="BD41" s="129" t="s">
        <v>44</v>
      </c>
      <c r="BJ41" s="133">
        <f t="shared" si="9"/>
        <v>0</v>
      </c>
      <c r="BK41" s="91">
        <f t="shared" si="10"/>
        <v>50000</v>
      </c>
      <c r="BM41" s="92"/>
      <c r="BN41" s="100">
        <v>0.0</v>
      </c>
      <c r="BO41" s="94">
        <f>50000*(1.8^(J20+BN41))*MAX(100^(J20+BN41-7),1)</f>
        <v>50000</v>
      </c>
      <c r="BP41" s="144">
        <f>IF(BN41&lt;1,
    0,
    IF(CreationLevel&lt;3,
        IF(OR(CreationIsUpgrading=False, CreationLevel&lt;2),
            "Error - Creation 3 Not Yet Unlocked",
            StorageLocker!C40
        ),
        StorageLocker!C40
    )
)</f>
        <v>0</v>
      </c>
      <c r="BV41" s="113">
        <f>IF(OR(BN41&gt;0, BN37), (((1+(0.005*(BJ41+BN41)))^AR51)^(1+((CreationLevel+BN37)*0.1)-0.1))/O20, ((1+(0.005*(BJ41+1)))^AR51)^(1+((CreationLevel+BN37)*0.1)-0.1)/O20)</f>
        <v>3.12288E+19</v>
      </c>
      <c r="BY41" s="92"/>
      <c r="BZ41" s="58"/>
      <c r="CA41" s="58"/>
      <c r="CB41" s="58"/>
      <c r="CC41" s="58"/>
    </row>
    <row r="42">
      <c r="A42" s="58"/>
      <c r="B42" s="60"/>
      <c r="C42" s="61"/>
      <c r="D42" s="155"/>
      <c r="E42" s="65"/>
      <c r="F42" s="65"/>
      <c r="G42" s="65"/>
      <c r="H42" s="58"/>
      <c r="I42" s="58"/>
      <c r="J42" s="58"/>
      <c r="K42" s="58"/>
      <c r="L42" s="58"/>
      <c r="M42" s="58"/>
      <c r="N42" s="58"/>
      <c r="O42" s="65"/>
      <c r="P42" s="65"/>
      <c r="Q42" s="65"/>
      <c r="R42" s="179"/>
      <c r="S42" s="61"/>
      <c r="T42" s="157"/>
      <c r="U42" s="70" t="str">
        <f>IF(Z40&gt;0, "Cradle Power", "--    ")</f>
        <v>--    </v>
      </c>
      <c r="Z42" s="141">
        <v>0.0</v>
      </c>
      <c r="AA42" s="58"/>
      <c r="AB42" s="142">
        <f>1000000*(3^Z42)</f>
        <v>1000000</v>
      </c>
      <c r="AE42" s="143">
        <f>((1+(0.0012*Z42))^$AU$55) * ((1+(0.02*Z42))^$AR$55) ^(1+($Z$40*0.1)-0.1)</f>
        <v>1</v>
      </c>
      <c r="AH42" s="158"/>
      <c r="AI42" s="61"/>
      <c r="AJ42" s="180"/>
      <c r="AK42" s="65"/>
      <c r="AL42" s="65"/>
      <c r="AM42" s="65"/>
      <c r="AN42" s="58"/>
      <c r="AO42" s="58"/>
      <c r="AP42" s="58"/>
      <c r="AQ42" s="58"/>
      <c r="AR42" s="58"/>
      <c r="AS42" s="58"/>
      <c r="AT42" s="58"/>
      <c r="AU42" s="65"/>
      <c r="AV42" s="65"/>
      <c r="AW42" s="65"/>
      <c r="AX42" s="181"/>
      <c r="AY42" s="61"/>
      <c r="AZ42" s="58"/>
      <c r="BA42" s="58"/>
      <c r="BB42" s="58"/>
      <c r="BC42" s="58"/>
      <c r="BD42" s="118" t="s">
        <v>81</v>
      </c>
      <c r="BJ42" s="201">
        <f t="shared" si="9"/>
        <v>0</v>
      </c>
      <c r="BK42" s="202">
        <f t="shared" si="10"/>
        <v>60000</v>
      </c>
      <c r="BM42" s="99"/>
      <c r="BN42" s="203">
        <v>0.0</v>
      </c>
      <c r="BO42" s="204">
        <f>60000*(2.2^(J21+BN42))*MAX(100^(J21+BN42-7),1)</f>
        <v>60000</v>
      </c>
      <c r="BP42" s="146">
        <f>IF(BN42&lt;1,
    0,
    IF(CreationLevel&lt;3,
        IF(OR(CreationIsUpgrading=False, CreationLevel&lt;2),
            "Error - Creation 3 Not Yet Unlocked",
            StorageLocker!C41
        ),
        StorageLocker!C41
    )
)</f>
        <v>0</v>
      </c>
      <c r="BV42" s="123">
        <f>IF(OR(BN42&gt;0, BN37), (((1+(0.001*(BJ42+BN42)))^AR51)^(1+((CreationLevel+BN37)*0.1)-0.1))/O21, ((1+(0.001*(BJ42+1)))^AR51)^(1+((CreationLevel+BN37)*0.1)-0.1)/O21)</f>
        <v>8066.726153</v>
      </c>
      <c r="BY42" s="99"/>
      <c r="BZ42" s="58"/>
      <c r="CA42" s="58"/>
      <c r="CB42" s="58"/>
      <c r="CC42" s="58"/>
    </row>
    <row r="43">
      <c r="A43" s="58"/>
      <c r="B43" s="60"/>
      <c r="C43" s="61"/>
      <c r="D43" s="155"/>
      <c r="E43" s="65"/>
      <c r="F43" s="65"/>
      <c r="G43" s="65"/>
      <c r="H43" s="58"/>
      <c r="I43" s="58"/>
      <c r="J43" s="58"/>
      <c r="K43" s="58"/>
      <c r="L43" s="58"/>
      <c r="M43" s="58"/>
      <c r="N43" s="58"/>
      <c r="O43" s="65"/>
      <c r="P43" s="65"/>
      <c r="Q43" s="65"/>
      <c r="R43" s="179"/>
      <c r="S43" s="61"/>
      <c r="T43" s="157"/>
      <c r="U43" s="70" t="str">
        <f>IF(Z40&gt;0, "Auxesia Power", "--    ")</f>
        <v>--    </v>
      </c>
      <c r="Z43" s="141">
        <v>0.0</v>
      </c>
      <c r="AA43" s="58"/>
      <c r="AB43" s="142">
        <f>2000000*(4^Z43)</f>
        <v>2000000</v>
      </c>
      <c r="AE43" s="143">
        <f>((1+(0.0014*Z43))^$AU$56) * ((1+(0.02*Z43))^$AR$56) ^(1+($Z$40*0.1)-0.1)</f>
        <v>1</v>
      </c>
      <c r="AH43" s="158"/>
      <c r="AI43" s="61"/>
      <c r="AJ43" s="180"/>
      <c r="AK43" s="65"/>
      <c r="AL43" s="65"/>
      <c r="AM43" s="65"/>
      <c r="AN43" s="58"/>
      <c r="AO43" s="58"/>
      <c r="AP43" s="58"/>
      <c r="AQ43" s="58"/>
      <c r="AR43" s="58"/>
      <c r="AS43" s="58"/>
      <c r="AT43" s="58"/>
      <c r="AU43" s="65"/>
      <c r="AV43" s="65"/>
      <c r="AW43" s="65"/>
      <c r="AX43" s="181"/>
      <c r="AY43" s="61"/>
      <c r="AZ43" s="58"/>
      <c r="BA43" s="58"/>
      <c r="BB43" s="58"/>
      <c r="BC43" s="58"/>
      <c r="BD43" s="129" t="s">
        <v>69</v>
      </c>
      <c r="BJ43" s="133">
        <f t="shared" si="9"/>
        <v>0</v>
      </c>
      <c r="BK43" s="91">
        <f t="shared" si="10"/>
        <v>70000</v>
      </c>
      <c r="BM43" s="92"/>
      <c r="BN43" s="100">
        <v>0.0</v>
      </c>
      <c r="BO43" s="94">
        <f>70000*(2.8^(J22+BN43))*MAX(100^(J22+BN43-7),1)</f>
        <v>70000</v>
      </c>
      <c r="BP43" s="144">
        <f>IF(BN43&lt;1,
    0,
    IF(CreationLevel&lt;3,
        IF(OR(CreationIsUpgrading=False, CreationLevel&lt;2),
            "Error - Creation 3 Not Yet Unlocked",
            StorageLocker!C42
        ),
        StorageLocker!C42
    )
)</f>
        <v>0</v>
      </c>
      <c r="BV43" s="130">
        <f>IF(OR(BN43&gt;0, BN37), (((1+(0.001*(BJ43+BN43)))^AR51)^(1+((CreationLevel+BN37)*0.1)-0.1))/O22, ((1+(0.001*(BJ43+1)))^AR51)^(1+((CreationLevel+BN37)*0.1)-0.1)/O22)</f>
        <v>8066.726153</v>
      </c>
      <c r="BY43" s="92"/>
      <c r="BZ43" s="58"/>
      <c r="CA43" s="58"/>
      <c r="CB43" s="58"/>
      <c r="CC43" s="58"/>
    </row>
    <row r="44">
      <c r="A44" s="58"/>
      <c r="B44" s="60"/>
      <c r="C44" s="61"/>
      <c r="D44" s="155"/>
      <c r="E44" s="58"/>
      <c r="F44" s="58"/>
      <c r="G44" s="58"/>
      <c r="H44" s="70">
        <v>1.0</v>
      </c>
      <c r="I44" s="147" t="b">
        <v>0</v>
      </c>
      <c r="J44" s="70">
        <v>2.0</v>
      </c>
      <c r="K44" s="147" t="b">
        <v>0</v>
      </c>
      <c r="L44" s="70">
        <v>3.0</v>
      </c>
      <c r="M44" s="147" t="b">
        <v>0</v>
      </c>
      <c r="N44" s="65"/>
      <c r="O44" s="58"/>
      <c r="P44" s="58"/>
      <c r="Q44" s="58"/>
      <c r="R44" s="179"/>
      <c r="S44" s="61"/>
      <c r="T44" s="157"/>
      <c r="U44" s="70" t="str">
        <f>IF(Z40&gt;0, "Zagreus Power", "--    ")</f>
        <v>--    </v>
      </c>
      <c r="Z44" s="141">
        <v>0.0</v>
      </c>
      <c r="AA44" s="58"/>
      <c r="AB44" s="142">
        <f>3000000*(5^Z44)</f>
        <v>3000000</v>
      </c>
      <c r="AE44" s="143">
        <f>((1+(0.002*Z44))^$AU$57) * ((1+(0.03*Z44))^$AR$57) ^(1+($Z$40*0.1)-0.1)</f>
        <v>1</v>
      </c>
      <c r="AH44" s="158"/>
      <c r="AI44" s="61"/>
      <c r="AJ44" s="180"/>
      <c r="AK44" s="58"/>
      <c r="AL44" s="58"/>
      <c r="AM44" s="58"/>
      <c r="AN44" s="70">
        <v>1.0</v>
      </c>
      <c r="AO44" s="147" t="b">
        <v>0</v>
      </c>
      <c r="AP44" s="70">
        <v>2.0</v>
      </c>
      <c r="AQ44" s="147" t="b">
        <v>0</v>
      </c>
      <c r="AR44" s="70">
        <v>3.0</v>
      </c>
      <c r="AS44" s="147" t="b">
        <v>0</v>
      </c>
      <c r="AT44" s="65"/>
      <c r="AU44" s="58"/>
      <c r="AV44" s="58"/>
      <c r="AW44" s="58"/>
      <c r="AX44" s="181"/>
      <c r="AY44" s="61"/>
      <c r="AZ44" s="58"/>
      <c r="BA44" s="58"/>
      <c r="BB44" s="58"/>
      <c r="BC44" s="58"/>
      <c r="BD44" s="118" t="s">
        <v>137</v>
      </c>
      <c r="BJ44" s="201">
        <f t="shared" si="9"/>
        <v>0</v>
      </c>
      <c r="BK44" s="202">
        <f t="shared" si="10"/>
        <v>80000</v>
      </c>
      <c r="BM44" s="99"/>
      <c r="BN44" s="203">
        <v>0.0</v>
      </c>
      <c r="BO44" s="204">
        <f>80000*(3.5^(J23+BN44))*MAX(100^(J23+BN44-7),1)</f>
        <v>80000</v>
      </c>
      <c r="BP44" s="146">
        <f>IF(BN44&lt;1,
    0,
    IF(CreationLevel&lt;3,
        IF(OR(CreationIsUpgrading=False, CreationLevel&lt;2),
            "Error - Creation 3 Not Yet Unlocked",
            StorageLocker!C43
        ),
        StorageLocker!C43
    )
)</f>
        <v>0</v>
      </c>
      <c r="BV44" s="123">
        <f>IF(OR(BN44&gt;0, BN37), (((1+(0.0007*(BJ44+BN44)))^AR51)^(1+((CreationLevel+BN37)*0.1)-0.1))/O23, ((1+(0.0007*(BJ44+1)))^AR51)^(1+((CreationLevel+BN37)*0.1)-0.1)/O23)</f>
        <v>543.3730108</v>
      </c>
      <c r="BY44" s="99"/>
      <c r="BZ44" s="58"/>
      <c r="CA44" s="58"/>
      <c r="CB44" s="58"/>
      <c r="CC44" s="58"/>
    </row>
    <row r="45">
      <c r="A45" s="58"/>
      <c r="B45" s="60"/>
      <c r="C45" s="61"/>
      <c r="D45" s="193"/>
      <c r="E45" s="193"/>
      <c r="F45" s="193"/>
      <c r="G45" s="193"/>
      <c r="H45" s="205" t="s">
        <v>165</v>
      </c>
      <c r="I45" s="15"/>
      <c r="J45" s="15"/>
      <c r="K45" s="15"/>
      <c r="L45" s="15"/>
      <c r="M45" s="15"/>
      <c r="N45" s="15"/>
      <c r="O45" s="193"/>
      <c r="P45" s="193"/>
      <c r="Q45" s="193"/>
      <c r="R45" s="194"/>
      <c r="S45" s="61"/>
      <c r="T45" s="157"/>
      <c r="U45" s="70" t="str">
        <f>IF(Z40&gt;0, "Heph Power", "--    ")</f>
        <v>--    </v>
      </c>
      <c r="Z45" s="141">
        <v>0.0</v>
      </c>
      <c r="AA45" s="58"/>
      <c r="AB45" s="142">
        <f>40000000*(6^Z45)</f>
        <v>40000000</v>
      </c>
      <c r="AE45" s="143">
        <f>((1+(0.0012*Z45))^$AU$58) * ((1+(0.02*Z45))^$AR$58) ^(1+($Z$40*0.1)-0.1)</f>
        <v>1</v>
      </c>
      <c r="AH45" s="158"/>
      <c r="AI45" s="105"/>
      <c r="AJ45" s="206"/>
      <c r="AK45" s="207"/>
      <c r="AL45" s="207"/>
      <c r="AM45" s="207"/>
      <c r="AN45" s="208" t="s">
        <v>165</v>
      </c>
      <c r="AO45" s="15"/>
      <c r="AP45" s="15"/>
      <c r="AQ45" s="15"/>
      <c r="AR45" s="15"/>
      <c r="AS45" s="15"/>
      <c r="AT45" s="15"/>
      <c r="AU45" s="207"/>
      <c r="AV45" s="207"/>
      <c r="AW45" s="207"/>
      <c r="AX45" s="209"/>
      <c r="AY45" s="61"/>
      <c r="AZ45" s="58"/>
      <c r="BA45" s="58"/>
      <c r="BB45" s="58"/>
      <c r="BC45" s="58"/>
      <c r="BD45" s="132"/>
      <c r="BE45" s="210"/>
      <c r="BF45" s="210"/>
      <c r="BG45" s="210"/>
      <c r="BH45" s="210"/>
      <c r="BI45" s="210"/>
      <c r="BJ45" s="133"/>
      <c r="BK45" s="211"/>
      <c r="BL45" s="211"/>
      <c r="BM45" s="211"/>
      <c r="BN45" s="212"/>
      <c r="BO45" s="133"/>
      <c r="BP45" s="210"/>
      <c r="BQ45" s="210"/>
      <c r="BR45" s="210"/>
      <c r="BS45" s="210"/>
      <c r="BT45" s="210"/>
      <c r="BU45" s="210"/>
      <c r="BV45" s="210"/>
      <c r="BW45" s="210"/>
      <c r="BX45" s="210"/>
      <c r="BY45" s="133"/>
      <c r="BZ45" s="58"/>
      <c r="CA45" s="58"/>
      <c r="CB45" s="58"/>
      <c r="CC45" s="58"/>
    </row>
    <row r="46">
      <c r="A46" s="58"/>
      <c r="B46" s="60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61"/>
      <c r="T46" s="157"/>
      <c r="U46" s="70" t="str">
        <f>IF(Z40&gt;0, "Demeter Power", "--    ")</f>
        <v>--    </v>
      </c>
      <c r="Z46" s="141">
        <v>0.0</v>
      </c>
      <c r="AA46" s="58"/>
      <c r="AB46" s="142">
        <f>50000000*(7^Z46)</f>
        <v>50000000</v>
      </c>
      <c r="AE46" s="143">
        <f>((1+(0.0034*Z46))^$AU$59) * ((1+(0.02*Z46))^$AR$59) ^(1+($Z$40*0.1)-0.1)</f>
        <v>1</v>
      </c>
      <c r="AH46" s="157"/>
      <c r="AI46" s="213"/>
      <c r="AJ46" s="56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214"/>
      <c r="AZ46" s="58"/>
      <c r="BA46" s="58"/>
      <c r="BB46" s="58"/>
      <c r="BC46" s="58"/>
      <c r="BD46" s="215" t="s">
        <v>172</v>
      </c>
      <c r="BJ46" s="200">
        <f>Z40</f>
        <v>0</v>
      </c>
      <c r="BK46" s="98">
        <f>AB40</f>
        <v>150000000</v>
      </c>
      <c r="BN46" s="216" t="b">
        <v>0</v>
      </c>
      <c r="BO46" s="200"/>
      <c r="BP46" s="146">
        <f>IF(PowerIsUpgrading,
    IF(ExodusLevel &lt; 3,
        IF(AND(ExodusLevel=2, ExodusIsUpgrading),
            StorageLocker!G4,
            "Error - Exodus 3 Not Yet Unlocked!"
        ), StorageLocker!G4
    ), StorageLocker!G4
 )</f>
        <v>0</v>
      </c>
      <c r="BY46" s="99"/>
      <c r="BZ46" s="58"/>
      <c r="CA46" s="58"/>
      <c r="CB46" s="58"/>
      <c r="CC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60"/>
      <c r="S47" s="61"/>
      <c r="T47" s="157"/>
      <c r="U47" s="70" t="str">
        <f>IF(Z40&gt;0, "Koios Power", "--    ")</f>
        <v>--    </v>
      </c>
      <c r="Z47" s="141">
        <v>0.0</v>
      </c>
      <c r="AA47" s="58"/>
      <c r="AB47" s="142">
        <f>600000000*(8^Z47)</f>
        <v>600000000</v>
      </c>
      <c r="AE47" s="143">
        <f>((1+(0.0014*Z47))^$AU$60) * ((1+(0.02*Z47))^$AR$60) ^(1+($Z$40*0.1)-0.1)</f>
        <v>1</v>
      </c>
      <c r="AH47" s="158"/>
      <c r="AI47" s="61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58"/>
      <c r="BC47" s="58"/>
      <c r="BD47" s="129" t="s">
        <v>60</v>
      </c>
      <c r="BJ47" s="133">
        <f t="shared" ref="BJ47:BJ55" si="11">Z42</f>
        <v>0</v>
      </c>
      <c r="BK47" s="91">
        <f t="shared" ref="BK47:BK55" si="12">AB42</f>
        <v>1000000</v>
      </c>
      <c r="BN47" s="203">
        <v>0.0</v>
      </c>
      <c r="BO47" s="94">
        <f>1000000*(3^(Z42+BN47))</f>
        <v>1000000</v>
      </c>
      <c r="BP47" s="144">
        <f>IF($BN47&lt;1,
    0,
    IF(PowerLevel&lt;1,
        IF(PowerIsUpgrading=False,
            "Error - Power 1 Not Yet Unlocked",
            StorageLocker!$G5
        ),
        StorageLocker!$G5
    )
)</f>
        <v>0</v>
      </c>
      <c r="BV47" s="113">
        <f>IF(OR(BN47&gt;0, PowerIsUpgrading),
(((1+(0.0012*(BJ47+BN47)))^$AU$55) * ((1+(0.02*(BJ47+BN47)))^$AR$55)^(1+((PowerLevel+PowerIsUpgrading)*0.1)-0.1))/AE42,
(((1+(0.0012*(BJ47+1)))^$AU$55) * ((1+(0.02*(BJ47+1)))^$AR$55)^(1+((PowerLevel)*0.1)-0.1))/AE42)</f>
        <v>117.1849539</v>
      </c>
      <c r="BY47" s="92"/>
      <c r="BZ47" s="58"/>
      <c r="CA47" s="58"/>
      <c r="CB47" s="58"/>
      <c r="CC47" s="58"/>
    </row>
    <row r="48">
      <c r="A48" s="58"/>
      <c r="B48" s="218" t="s">
        <v>173</v>
      </c>
      <c r="C48" s="219"/>
      <c r="D48" s="219"/>
      <c r="E48" s="219"/>
      <c r="F48" s="220" t="str">
        <f>Ver!A1</f>
        <v>0.1</v>
      </c>
      <c r="G48" s="219"/>
      <c r="H48" s="219"/>
      <c r="I48" s="221"/>
      <c r="J48" s="222"/>
      <c r="K48" s="222"/>
      <c r="L48" s="222"/>
      <c r="M48" s="222"/>
      <c r="N48" s="222"/>
      <c r="O48" s="222"/>
      <c r="P48" s="222"/>
      <c r="Q48" s="222"/>
      <c r="R48" s="60"/>
      <c r="S48" s="61"/>
      <c r="T48" s="157"/>
      <c r="U48" s="70" t="str">
        <f>IF(Z40&gt;0, "Zeus Power", "--    ")</f>
        <v>--    </v>
      </c>
      <c r="Z48" s="141">
        <v>0.0</v>
      </c>
      <c r="AA48" s="58"/>
      <c r="AB48" s="142">
        <f>700000000*(9^Z48)</f>
        <v>700000000</v>
      </c>
      <c r="AE48" s="143">
        <f>((1+(0.0012*Z48))^$AU$61) * ((1+(0.02*Z48))^$AR$61) ^(1+($Z$40*0.1)-0.1)</f>
        <v>1</v>
      </c>
      <c r="AH48" s="158"/>
      <c r="AI48" s="61"/>
      <c r="AJ48" s="217"/>
      <c r="AK48" s="70" t="s">
        <v>174</v>
      </c>
      <c r="AQ48" s="65"/>
      <c r="AR48" s="223">
        <v>30000.0</v>
      </c>
      <c r="AU48" s="217"/>
      <c r="BA48" s="217"/>
      <c r="BB48" s="58"/>
      <c r="BC48" s="58"/>
      <c r="BD48" s="118" t="s">
        <v>70</v>
      </c>
      <c r="BJ48" s="200">
        <f t="shared" si="11"/>
        <v>0</v>
      </c>
      <c r="BK48" s="98">
        <f t="shared" si="12"/>
        <v>2000000</v>
      </c>
      <c r="BN48" s="203">
        <v>0.0</v>
      </c>
      <c r="BO48" s="139">
        <f>2000000*(4^(Z43+BN48))</f>
        <v>2000000</v>
      </c>
      <c r="BP48" s="146">
        <f>IF($BN48&lt;1,
    0,
    IF(PowerLevel&lt;1,
        IF(PowerIsUpgrading=False,
            "Error - Power 1 Not Yet Unlocked",
            StorageLocker!$G6
        ),
        StorageLocker!$G6
    )
)</f>
        <v>0</v>
      </c>
      <c r="BV48" s="123">
        <f>IF(OR(BN48&gt;0, PowerIsUpgrading),
(((1+(0.0014*(BJ48+BN48)))^$AU$56) * ((1+(0.02*(BJ48+BN48)))^$AR$56)^(1+((PowerLevel+PowerIsUpgrading)*0.1)-0.1))/AE43,
(((1+(0.0014*(BJ48+1)))^$AU$56) * ((1+(0.02*(BJ48+1)))^$AR$56)^(1+((PowerLevel)*0.1)-0.1))/AE43)</f>
        <v>11.80310683</v>
      </c>
      <c r="BY48" s="99"/>
      <c r="BZ48" s="58"/>
      <c r="CA48" s="58"/>
      <c r="CB48" s="58"/>
      <c r="CC48" s="58"/>
    </row>
    <row r="49">
      <c r="A49" s="60"/>
      <c r="B49" s="224" t="str">
        <f>IF(RAND()&gt;10000, "Wtf Happened Here??", IF(NOT(F48 = Ver!$A$2),"Current Version is Out Of Date!", "You have the Latest Version!"))</f>
        <v>You have the Latest Version!</v>
      </c>
      <c r="Q49" s="12"/>
      <c r="R49" s="60"/>
      <c r="S49" s="61"/>
      <c r="T49" s="157"/>
      <c r="U49" s="70" t="str">
        <f>IF(Z40&gt;0, "Bonus Blueprints", "--    ")</f>
        <v>--    </v>
      </c>
      <c r="Z49" s="141">
        <v>0.0</v>
      </c>
      <c r="AA49" s="58"/>
      <c r="AB49" s="142">
        <f t="shared" ref="AB49:AB50" si="13">1 * (10^Z49)</f>
        <v>1</v>
      </c>
      <c r="AE49" s="152">
        <f>Z49*8</f>
        <v>0</v>
      </c>
      <c r="AH49" s="158"/>
      <c r="AI49" s="61"/>
      <c r="AJ49" s="217"/>
      <c r="AK49" s="225"/>
      <c r="AL49" s="226" t="s">
        <v>175</v>
      </c>
      <c r="AQ49" s="225"/>
      <c r="AR49" s="227">
        <v>2000.0</v>
      </c>
      <c r="AU49" s="217"/>
      <c r="BA49" s="217"/>
      <c r="BB49" s="58"/>
      <c r="BC49" s="58"/>
      <c r="BD49" s="129" t="s">
        <v>79</v>
      </c>
      <c r="BJ49" s="133">
        <f t="shared" si="11"/>
        <v>0</v>
      </c>
      <c r="BK49" s="91">
        <f t="shared" si="12"/>
        <v>3000000</v>
      </c>
      <c r="BN49" s="203">
        <v>0.0</v>
      </c>
      <c r="BO49" s="94">
        <f>3000000*(5^(Z44+BN49))</f>
        <v>3000000</v>
      </c>
      <c r="BP49" s="144">
        <f>IF($BN49&lt;1,
    0,
    IF(PowerLevel&lt;1,
        IF(PowerIsUpgrading=False,
            "Error - Power 1 Not Yet Unlocked",
            StorageLocker!$G7
        ),
        StorageLocker!$G7
    )
)</f>
        <v>0</v>
      </c>
      <c r="BV49" s="130">
        <f>IF(OR(BN49&gt;0, PowerIsUpgrading),
(((1+(0.002*(BJ49+BN49)))^$AU$57) * ((1+(0.03*(BJ49+BN49)))^$AR$57)^(1+((PowerLevel+PowerIsUpgrading)*0.1)-0.1))/AE44,
(((1+(0.002*(BJ49+1)))^$AU$57) * ((1+(0.03*(BJ49+1)))^$AR$57)^(1+((PowerLevel)*0.1)-0.1))/AE44)</f>
        <v>36.38577799</v>
      </c>
      <c r="BY49" s="92"/>
      <c r="BZ49" s="58"/>
      <c r="CA49" s="58"/>
      <c r="CB49" s="58"/>
      <c r="CC49" s="58"/>
    </row>
    <row r="50">
      <c r="A50" s="60"/>
      <c r="B50" s="228" t="str">
        <f>IF(RAND()&gt;10000, "Wtf Happened Here??", IF(NOT(F48 = Ver!$A$2),"https://docs.google.com/spreadsheets/d/1imrnzxvC9bD0EeUQlD6YYWSZGM2ux8THzVmRleQmAAU/edit?usp=sharing", "No Need to Update!"))</f>
        <v>No Need to Update!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/>
      <c r="R50" s="60"/>
      <c r="S50" s="61"/>
      <c r="T50" s="157"/>
      <c r="U50" s="70" t="str">
        <f>IF(Z40&gt;0, "Bonus Inno Cores", "--    ")</f>
        <v>--    </v>
      </c>
      <c r="Z50" s="141">
        <v>0.0</v>
      </c>
      <c r="AA50" s="58"/>
      <c r="AB50" s="142">
        <f t="shared" si="13"/>
        <v>1</v>
      </c>
      <c r="AE50" s="152">
        <f>Z50*4</f>
        <v>0</v>
      </c>
      <c r="AH50" s="158"/>
      <c r="AI50" s="61"/>
      <c r="AJ50" s="217"/>
      <c r="AK50" s="70" t="s">
        <v>176</v>
      </c>
      <c r="AQ50" s="65"/>
      <c r="AR50" s="223">
        <v>100000.0</v>
      </c>
      <c r="AU50" s="217"/>
      <c r="BA50" s="217"/>
      <c r="BB50" s="58"/>
      <c r="BC50" s="58"/>
      <c r="BD50" s="118" t="s">
        <v>85</v>
      </c>
      <c r="BJ50" s="200">
        <f t="shared" si="11"/>
        <v>0</v>
      </c>
      <c r="BK50" s="98">
        <f t="shared" si="12"/>
        <v>40000000</v>
      </c>
      <c r="BN50" s="203">
        <v>0.0</v>
      </c>
      <c r="BO50" s="139">
        <f>40000000*(6^(Z45+BN50))</f>
        <v>40000000</v>
      </c>
      <c r="BP50" s="146">
        <f>IF($BN50&lt;1,
    0,
    IF(PowerLevel&lt;1,
        IF(PowerIsUpgrading=False,
            "Error - Power 1 Not Yet Unlocked",
            StorageLocker!$G8
        ),
        StorageLocker!$G8
    )
)</f>
        <v>0</v>
      </c>
      <c r="BV50" s="123">
        <f>IF(OR(BN50&gt;0, PowerIsUpgrading),
(((1+(0.0012*(BJ50+BN50)))^$AU$58) * ((1+(0.02*(BJ50+BN50)))^$AR$58)^(1+((PowerLevel+PowerIsUpgrading)*0.1)-0.1))/AE45,
(((1+(0.0012*(BJ50+1)))^$AU$58) * ((1+(0.02*(BJ50+1)))^$AR$58)^(1+((PowerLevel)*0.1)-0.1))/AE45)</f>
        <v>156.8408237</v>
      </c>
      <c r="BY50" s="99"/>
      <c r="BZ50" s="58"/>
      <c r="CA50" s="58"/>
      <c r="CB50" s="58"/>
      <c r="C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60"/>
      <c r="S51" s="61"/>
      <c r="T51" s="157"/>
      <c r="U51" s="70"/>
      <c r="Z51" s="70"/>
      <c r="AA51" s="58"/>
      <c r="AB51" s="86"/>
      <c r="AE51" s="187"/>
      <c r="AH51" s="158"/>
      <c r="AI51" s="61"/>
      <c r="AJ51" s="217"/>
      <c r="AK51" s="229" t="s">
        <v>177</v>
      </c>
      <c r="AQ51" s="65"/>
      <c r="AR51" s="223">
        <v>10000.0</v>
      </c>
      <c r="AU51" s="230"/>
      <c r="BA51" s="230"/>
      <c r="BB51" s="230"/>
      <c r="BC51" s="231"/>
      <c r="BD51" s="129" t="s">
        <v>87</v>
      </c>
      <c r="BJ51" s="133">
        <f t="shared" si="11"/>
        <v>0</v>
      </c>
      <c r="BK51" s="91">
        <f t="shared" si="12"/>
        <v>50000000</v>
      </c>
      <c r="BN51" s="203">
        <v>0.0</v>
      </c>
      <c r="BO51" s="94">
        <f>50000000*(7^(Z46+BN51))</f>
        <v>50000000</v>
      </c>
      <c r="BP51" s="144">
        <f>IF($BN51&lt;1,
    0,
    IF(PowerLevel&lt;1,
        IF(PowerIsUpgrading=False,
            "Error - Power 1 Not Yet Unlocked",
            StorageLocker!$G9
        ),
        StorageLocker!$G9
    )
)</f>
        <v>0</v>
      </c>
      <c r="BV51" s="130">
        <f>IF(OR(BN51&gt;0, PowerIsUpgrading),
(((1+(0.0034*(BJ51+BN51)))^$AU$59) * ((1+(0.02*(BJ51+BN51)))^$AR$59)^(1+((PowerLevel+PowerIsUpgrading)*0.1)-0.1))/AE46,
(((1+(0.0034*(BJ51+1)))^$AU$59) * ((1+(0.02*(BJ51+1)))^$AR$59)^(1+((PowerLevel)*0.1)-0.1))/AE46)</f>
        <v>13.30626214</v>
      </c>
      <c r="BY51" s="92"/>
      <c r="BZ51" s="58"/>
      <c r="CA51" s="58"/>
      <c r="CB51" s="58"/>
      <c r="C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60"/>
      <c r="S52" s="61"/>
      <c r="T52" s="157"/>
      <c r="U52" s="58"/>
      <c r="V52" s="58"/>
      <c r="W52" s="58"/>
      <c r="X52" s="70">
        <v>1.0</v>
      </c>
      <c r="Y52" s="147" t="b">
        <v>0</v>
      </c>
      <c r="Z52" s="70">
        <v>2.0</v>
      </c>
      <c r="AA52" s="147" t="b">
        <v>0</v>
      </c>
      <c r="AB52" s="70">
        <v>3.0</v>
      </c>
      <c r="AC52" s="147" t="b">
        <v>0</v>
      </c>
      <c r="AD52" s="65"/>
      <c r="AE52" s="58"/>
      <c r="AF52" s="58"/>
      <c r="AG52" s="58"/>
      <c r="AH52" s="158"/>
      <c r="AI52" s="61"/>
      <c r="AJ52" s="232" t="s">
        <v>178</v>
      </c>
      <c r="AQ52" s="233"/>
      <c r="AR52" s="234">
        <v>100.0</v>
      </c>
      <c r="AU52" s="233"/>
      <c r="BA52" s="230"/>
      <c r="BB52" s="230"/>
      <c r="BC52" s="231"/>
      <c r="BD52" s="118" t="s">
        <v>89</v>
      </c>
      <c r="BJ52" s="200">
        <f t="shared" si="11"/>
        <v>0</v>
      </c>
      <c r="BK52" s="98">
        <f t="shared" si="12"/>
        <v>600000000</v>
      </c>
      <c r="BN52" s="203">
        <v>0.0</v>
      </c>
      <c r="BO52" s="139">
        <f>600000000*(8^(Z47+BN52))</f>
        <v>600000000</v>
      </c>
      <c r="BP52" s="146">
        <f>IF($BN52&lt;1,
    0,
    IF(PowerLevel&lt;1,
        IF(PowerIsUpgrading=False,
            "Error - Power 1 Not Yet Unlocked",
            StorageLocker!$G10
        ),
        StorageLocker!$G10
    )
)</f>
        <v>0</v>
      </c>
      <c r="BV52" s="123">
        <f>IF(OR(BN52&gt;0, PowerIsUpgrading),
(((1+(0.0014*(BJ52+BN52)))^$AU$60) * ((1+(0.02*(BJ52+BN52)))^$AR$60)^(1+((PowerLevel+PowerIsUpgrading)*0.1)-0.1))/AE47,
(((1+(0.0014*(BJ52+1)))^$AU$60) * ((1+(0.02*(BJ52+1)))^$AR$60)^(1+((PowerLevel)*0.1)-0.1))/AE47)</f>
        <v>10.00938615</v>
      </c>
      <c r="BY52" s="99"/>
      <c r="BZ52" s="58"/>
      <c r="CA52" s="58"/>
      <c r="CB52" s="58"/>
      <c r="C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60"/>
      <c r="S53" s="61"/>
      <c r="T53" s="191"/>
      <c r="U53" s="191"/>
      <c r="V53" s="191"/>
      <c r="W53" s="191"/>
      <c r="X53" s="235" t="s">
        <v>165</v>
      </c>
      <c r="Y53" s="15"/>
      <c r="Z53" s="15"/>
      <c r="AA53" s="15"/>
      <c r="AB53" s="15"/>
      <c r="AC53" s="15"/>
      <c r="AD53" s="15"/>
      <c r="AE53" s="191"/>
      <c r="AF53" s="191"/>
      <c r="AG53" s="191"/>
      <c r="AH53" s="236"/>
      <c r="AI53" s="61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30"/>
      <c r="BA53" s="230"/>
      <c r="BB53" s="230"/>
      <c r="BC53" s="231"/>
      <c r="BD53" s="129" t="s">
        <v>91</v>
      </c>
      <c r="BJ53" s="133">
        <f t="shared" si="11"/>
        <v>0</v>
      </c>
      <c r="BK53" s="91">
        <f t="shared" si="12"/>
        <v>700000000</v>
      </c>
      <c r="BN53" s="203">
        <v>0.0</v>
      </c>
      <c r="BO53" s="94">
        <f>700000000*(9^(Z48+BN53))</f>
        <v>700000000</v>
      </c>
      <c r="BP53" s="144">
        <f>IF($BN53&lt;1,
    0,
    IF(PowerLevel&lt;1,
        IF(PowerIsUpgrading=False,
            "Error - Power 1 Not Yet Unlocked",
            StorageLocker!$G11
        ),
        StorageLocker!$G11
    )
)</f>
        <v>0</v>
      </c>
      <c r="BV53" s="130">
        <f>IF(OR(BN53&gt;0, PowerIsUpgrading),
(((1+(0.0012*(BJ53+BN53)))^$AU$61) * ((1+(0.02*(BJ53+BN53)))^$AR$61)^(1+((PowerLevel+PowerIsUpgrading)*0.1)-0.1))/AE48,
(((1+(0.0012*(BJ53+1)))^$AU$61) * ((1+(0.02*(BJ53+1)))^$AR$61)^(1+((PowerLevel)*0.1)-0.1))/AE48)</f>
        <v>5.30676362</v>
      </c>
      <c r="BY53" s="92"/>
      <c r="BZ53" s="58"/>
      <c r="CA53" s="58"/>
      <c r="CB53" s="58"/>
      <c r="C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237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6"/>
      <c r="AJ54" s="217"/>
      <c r="AK54" s="238" t="s">
        <v>179</v>
      </c>
      <c r="AQ54" s="239"/>
      <c r="AR54" s="240" t="s">
        <v>180</v>
      </c>
      <c r="AT54" s="241"/>
      <c r="AU54" s="241" t="s">
        <v>181</v>
      </c>
      <c r="AW54" s="233"/>
      <c r="AX54" s="230"/>
      <c r="AY54" s="230"/>
      <c r="AZ54" s="230"/>
      <c r="BA54" s="230"/>
      <c r="BB54" s="230"/>
      <c r="BC54" s="231"/>
      <c r="BD54" s="118" t="s">
        <v>94</v>
      </c>
      <c r="BJ54" s="200">
        <f t="shared" si="11"/>
        <v>0</v>
      </c>
      <c r="BK54" s="98">
        <f t="shared" si="12"/>
        <v>1</v>
      </c>
      <c r="BN54" s="203">
        <v>0.0</v>
      </c>
      <c r="BO54" s="139">
        <f t="shared" ref="BO54:BO55" si="14">1*(10^(Z49+BN54))</f>
        <v>1</v>
      </c>
      <c r="BP54" s="146">
        <f>IF($BN54&lt;1,
    0,
    IF(PowerLevel&lt;1,
        IF(PowerIsUpgrading=False,
            "Error - Power 1 Not Yet Unlocked",
            StorageLocker!$G12
        ),
        StorageLocker!$G12
    )
)</f>
        <v>0</v>
      </c>
      <c r="BV54" s="153">
        <f>IF(OR(BN54&gt;0, BN46), ((Z49+BN54)*8*(PowerLevel+BN46))-AE49, 8*PowerLevel)</f>
        <v>0</v>
      </c>
      <c r="BY54" s="99"/>
      <c r="BZ54" s="58"/>
      <c r="CA54" s="58"/>
      <c r="CB54" s="58"/>
      <c r="C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I55" s="58"/>
      <c r="AJ55" s="217"/>
      <c r="AK55" s="242" t="s">
        <v>182</v>
      </c>
      <c r="AQ55" s="233"/>
      <c r="AR55" s="243">
        <v>200.0</v>
      </c>
      <c r="AT55" s="244"/>
      <c r="AU55" s="245">
        <v>1000.0</v>
      </c>
      <c r="AW55" s="233"/>
      <c r="AX55" s="230"/>
      <c r="AY55" s="230"/>
      <c r="AZ55" s="230"/>
      <c r="BA55" s="230"/>
      <c r="BB55" s="230"/>
      <c r="BC55" s="231"/>
      <c r="BD55" s="129" t="s">
        <v>96</v>
      </c>
      <c r="BJ55" s="133">
        <f t="shared" si="11"/>
        <v>0</v>
      </c>
      <c r="BK55" s="91">
        <f t="shared" si="12"/>
        <v>1</v>
      </c>
      <c r="BN55" s="203">
        <v>0.0</v>
      </c>
      <c r="BO55" s="94">
        <f t="shared" si="14"/>
        <v>1</v>
      </c>
      <c r="BP55" s="144">
        <f>IF($BN55&lt;1,
    0,
    IF(PowerLevel&lt;1,
        IF(PowerIsUpgrading=False,
            "Error - Power 1 Not Yet Unlocked",
            StorageLocker!$G13
        ),
        StorageLocker!$G13
    )
)</f>
        <v>0</v>
      </c>
      <c r="BV55" s="166">
        <f>IF(OR(BN55&gt;0, BN46), ((Z50+BN55)*4*(PowerLevel+BN46))-AE50, 4*PowerLevel)</f>
        <v>0</v>
      </c>
      <c r="BY55" s="92"/>
      <c r="BZ55" s="58"/>
      <c r="CA55" s="58"/>
      <c r="CB55" s="58"/>
      <c r="CC55" s="58"/>
    </row>
    <row r="56">
      <c r="A56" s="58"/>
      <c r="B56" s="246" t="s">
        <v>183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217"/>
      <c r="AK56" s="242" t="s">
        <v>184</v>
      </c>
      <c r="AQ56" s="233"/>
      <c r="AR56" s="243">
        <v>60.0</v>
      </c>
      <c r="AT56" s="244"/>
      <c r="AU56" s="245">
        <v>1000.0</v>
      </c>
      <c r="AW56" s="233"/>
      <c r="AX56" s="230"/>
      <c r="AY56" s="230"/>
      <c r="AZ56" s="230"/>
      <c r="BA56" s="230"/>
      <c r="BB56" s="230"/>
      <c r="BC56" s="231"/>
      <c r="BD56" s="247" t="s">
        <v>185</v>
      </c>
      <c r="BE56" s="248"/>
      <c r="BF56" s="248"/>
      <c r="BG56" s="248"/>
      <c r="BH56" s="248"/>
      <c r="BI56" s="248"/>
      <c r="BJ56" s="248"/>
      <c r="BK56" s="248"/>
      <c r="BL56" s="248"/>
      <c r="BM56" s="248"/>
      <c r="BN56" s="248"/>
      <c r="BO56" s="248"/>
      <c r="BP56" s="248"/>
      <c r="BQ56" s="248"/>
      <c r="BR56" s="248"/>
      <c r="BS56" s="248"/>
      <c r="BT56" s="248"/>
      <c r="BU56" s="248"/>
      <c r="BV56" s="248"/>
      <c r="BW56" s="248"/>
      <c r="BX56" s="248"/>
      <c r="BY56" s="249"/>
      <c r="BZ56" s="58"/>
      <c r="CA56" s="58"/>
      <c r="CB56" s="58"/>
      <c r="CC56" s="58"/>
    </row>
    <row r="57">
      <c r="A57" s="58"/>
      <c r="B57" s="250" t="str">
        <f>IFERROR(__xludf.DUMMYFUNCTION("IMPORTRANGE(""https://docs.google.com/spreadsheets/d/1imrnzxvC9bD0EeUQlD6YYWSZGM2ux8THzVmRleQmAAU/edit?usp=sharing"", ""Ver!D4"")"),"This Sheet is no longer maintained. Adam has taken over. Please use his sheet. You can find the link at the top page or in the discord")</f>
        <v>This Sheet is no longer maintained. Adam has taken over. Please use his sheet. You can find the link at the top page or in the discord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217"/>
      <c r="AK57" s="242" t="s">
        <v>186</v>
      </c>
      <c r="AQ57" s="233"/>
      <c r="AR57" s="245">
        <v>60.0</v>
      </c>
      <c r="AT57" s="244"/>
      <c r="AU57" s="245">
        <v>1000.0</v>
      </c>
      <c r="AW57" s="233"/>
      <c r="AX57" s="230"/>
      <c r="AY57" s="230"/>
      <c r="AZ57" s="230"/>
      <c r="BA57" s="230"/>
      <c r="BB57" s="230"/>
      <c r="BC57" s="231"/>
      <c r="BD57" s="239"/>
      <c r="BZ57" s="58"/>
      <c r="CA57" s="58"/>
      <c r="CB57" s="58"/>
      <c r="CC57" s="58"/>
    </row>
    <row r="58">
      <c r="A58" s="58"/>
      <c r="AA58" s="58"/>
      <c r="AB58" s="58"/>
      <c r="AC58" s="58"/>
      <c r="AD58" s="58"/>
      <c r="AE58" s="58"/>
      <c r="AF58" s="58"/>
      <c r="AG58" s="58"/>
      <c r="AH58" s="58"/>
      <c r="AI58" s="58"/>
      <c r="AJ58" s="217"/>
      <c r="AK58" s="242" t="s">
        <v>187</v>
      </c>
      <c r="AQ58" s="233"/>
      <c r="AR58" s="245">
        <v>250.0</v>
      </c>
      <c r="AT58" s="244"/>
      <c r="AU58" s="245">
        <v>500.0</v>
      </c>
      <c r="AW58" s="233"/>
      <c r="AX58" s="230"/>
      <c r="AY58" s="230"/>
      <c r="AZ58" s="217"/>
      <c r="BA58" s="217"/>
      <c r="BB58" s="58"/>
      <c r="BC58" s="58"/>
      <c r="BD58" s="251" t="s">
        <v>188</v>
      </c>
      <c r="BE58" s="252"/>
      <c r="BF58" s="252"/>
      <c r="BG58" s="252"/>
      <c r="BH58" s="252"/>
      <c r="BI58" s="252"/>
      <c r="BJ58" s="252"/>
      <c r="BK58" s="252"/>
      <c r="BL58" s="252"/>
      <c r="BM58" s="252"/>
      <c r="BN58" s="252"/>
      <c r="BO58" s="252"/>
      <c r="BP58" s="252"/>
      <c r="BQ58" s="252"/>
      <c r="BR58" s="252"/>
      <c r="BS58" s="252"/>
      <c r="BT58" s="252"/>
      <c r="BU58" s="252"/>
      <c r="BV58" s="252"/>
      <c r="BW58" s="252"/>
      <c r="BX58" s="252"/>
      <c r="BY58" s="253"/>
      <c r="BZ58" s="58"/>
      <c r="CA58" s="58"/>
      <c r="CB58" s="58"/>
      <c r="CC58" s="58"/>
    </row>
    <row r="59">
      <c r="A59" s="58"/>
      <c r="AA59" s="58"/>
      <c r="AB59" s="58"/>
      <c r="AC59" s="58"/>
      <c r="AD59" s="58"/>
      <c r="AE59" s="58"/>
      <c r="AF59" s="58"/>
      <c r="AG59" s="58"/>
      <c r="AH59" s="58"/>
      <c r="AI59" s="58"/>
      <c r="AJ59" s="217"/>
      <c r="AK59" s="242" t="s">
        <v>189</v>
      </c>
      <c r="AQ59" s="254"/>
      <c r="AR59" s="243">
        <v>50.0</v>
      </c>
      <c r="AT59" s="255"/>
      <c r="AU59" s="243">
        <v>500.0</v>
      </c>
      <c r="AW59" s="254"/>
      <c r="AX59" s="217"/>
      <c r="AY59" s="217"/>
      <c r="AZ59" s="58"/>
      <c r="BA59" s="58"/>
      <c r="BB59" s="58"/>
      <c r="BC59" s="58"/>
      <c r="BD59" s="256" t="s">
        <v>190</v>
      </c>
      <c r="BE59" s="257"/>
      <c r="BF59" s="257"/>
      <c r="BG59" s="257"/>
      <c r="BH59" s="257"/>
      <c r="BI59" s="258" t="s">
        <v>191</v>
      </c>
      <c r="BJ59" s="257"/>
      <c r="BK59" s="257"/>
      <c r="BL59" s="257"/>
      <c r="BM59" s="257"/>
      <c r="BN59" s="259"/>
      <c r="BO59" s="258"/>
      <c r="BP59" s="258" t="s">
        <v>192</v>
      </c>
      <c r="BQ59" s="257"/>
      <c r="BR59" s="257"/>
      <c r="BS59" s="257"/>
      <c r="BT59" s="257"/>
      <c r="BU59" s="258" t="s">
        <v>193</v>
      </c>
      <c r="BV59" s="257"/>
      <c r="BW59" s="257"/>
      <c r="BX59" s="257"/>
      <c r="BY59" s="260"/>
      <c r="BZ59" s="58"/>
      <c r="CA59" s="58"/>
      <c r="CB59" s="58"/>
      <c r="CC59" s="58"/>
    </row>
    <row r="60">
      <c r="A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229" t="s">
        <v>194</v>
      </c>
      <c r="AQ60" s="58"/>
      <c r="AR60" s="261">
        <v>90.0</v>
      </c>
      <c r="AT60" s="262"/>
      <c r="AU60" s="261">
        <v>500.0</v>
      </c>
      <c r="AW60" s="58"/>
      <c r="AX60" s="58"/>
      <c r="AY60" s="58"/>
      <c r="AZ60" s="58"/>
      <c r="BA60" s="58"/>
      <c r="BB60" s="58"/>
      <c r="BC60" s="58"/>
      <c r="BD60" s="263">
        <v>1.0</v>
      </c>
      <c r="BE60" s="264" t="b">
        <v>0</v>
      </c>
      <c r="BF60" s="265">
        <f>IF(TemporalityNode1, "MAX", 1)</f>
        <v>1</v>
      </c>
      <c r="BI60" s="266">
        <v>1.0</v>
      </c>
      <c r="BJ60" s="264" t="b">
        <v>0</v>
      </c>
      <c r="BK60" s="265">
        <f>IF(InnovationNode1, "MAX", 7000)</f>
        <v>7000</v>
      </c>
      <c r="BN60" s="201"/>
      <c r="BO60" s="201"/>
      <c r="BP60" s="266">
        <v>1.0</v>
      </c>
      <c r="BQ60" s="264" t="b">
        <v>0</v>
      </c>
      <c r="BR60" s="265">
        <f>IF(AttractionNode1, "MAX", 500000)</f>
        <v>500000</v>
      </c>
      <c r="BU60" s="266">
        <v>1.0</v>
      </c>
      <c r="BV60" s="264" t="b">
        <v>0</v>
      </c>
      <c r="BW60" s="265">
        <f>IF(CreationNode1, "MAX", 800000)</f>
        <v>800000</v>
      </c>
      <c r="BY60" s="99"/>
      <c r="BZ60" s="58"/>
      <c r="CA60" s="58"/>
      <c r="CB60" s="58"/>
      <c r="CC60" s="58"/>
    </row>
    <row r="61">
      <c r="A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229" t="s">
        <v>195</v>
      </c>
      <c r="AQ61" s="58"/>
      <c r="AR61" s="261">
        <v>60.0</v>
      </c>
      <c r="AT61" s="262"/>
      <c r="AU61" s="261">
        <v>500.0</v>
      </c>
      <c r="AW61" s="58"/>
      <c r="AX61" s="58"/>
      <c r="AY61" s="58"/>
      <c r="AZ61" s="58"/>
      <c r="BA61" s="58"/>
      <c r="BB61" s="58"/>
      <c r="BC61" s="58"/>
      <c r="BD61" s="267">
        <v>2.0</v>
      </c>
      <c r="BE61" s="268" t="b">
        <v>0</v>
      </c>
      <c r="BF61" s="269">
        <f>IF(TemporalityNode2, "MAX", 9000)</f>
        <v>9000</v>
      </c>
      <c r="BI61" s="270">
        <v>2.0</v>
      </c>
      <c r="BJ61" s="268" t="b">
        <v>0</v>
      </c>
      <c r="BK61" s="269">
        <f>IF(InnovationNode2, "MAX", 3000000)</f>
        <v>3000000</v>
      </c>
      <c r="BN61" s="210"/>
      <c r="BO61" s="210"/>
      <c r="BP61" s="270">
        <v>2.0</v>
      </c>
      <c r="BQ61" s="268" t="b">
        <v>0</v>
      </c>
      <c r="BR61" s="269">
        <f>IF(AttractionNode2, "MAX", 200000)</f>
        <v>200000</v>
      </c>
      <c r="BU61" s="270">
        <v>2.0</v>
      </c>
      <c r="BV61" s="268" t="b">
        <v>0</v>
      </c>
      <c r="BW61" s="269">
        <f>IF(CreationNode2, "MAX", 500000000)</f>
        <v>500000000</v>
      </c>
      <c r="BY61" s="92"/>
      <c r="BZ61" s="58"/>
      <c r="CA61" s="58"/>
      <c r="CB61" s="58"/>
      <c r="CC61" s="58"/>
    </row>
    <row r="62">
      <c r="A62" s="58"/>
      <c r="AA62" s="58"/>
      <c r="AB62" s="271"/>
      <c r="AC62" s="271"/>
      <c r="AD62" s="271"/>
      <c r="AE62" s="271"/>
      <c r="AF62" s="271"/>
      <c r="AG62" s="271"/>
      <c r="AH62" s="271"/>
      <c r="AI62" s="271"/>
      <c r="AJ62" s="58"/>
      <c r="AK62" s="272" t="s">
        <v>196</v>
      </c>
      <c r="AY62" s="58"/>
      <c r="AZ62" s="271"/>
      <c r="BA62" s="271"/>
      <c r="BB62" s="271"/>
      <c r="BC62" s="58"/>
      <c r="BD62" s="263">
        <v>3.0</v>
      </c>
      <c r="BE62" s="264" t="b">
        <v>0</v>
      </c>
      <c r="BF62" s="265">
        <f>IF(TemporalityNode3, "MAX", 7000000)</f>
        <v>7000000</v>
      </c>
      <c r="BI62" s="266">
        <v>3.0</v>
      </c>
      <c r="BJ62" s="264" t="b">
        <v>0</v>
      </c>
      <c r="BK62" s="265">
        <f>IF(InnovationNode3, "MAX", 12000)</f>
        <v>12000</v>
      </c>
      <c r="BN62" s="201"/>
      <c r="BO62" s="201"/>
      <c r="BP62" s="266">
        <v>3.0</v>
      </c>
      <c r="BQ62" s="264" t="b">
        <v>0</v>
      </c>
      <c r="BR62" s="265">
        <f>IF(AttractionNode3, "MAX", 60000)</f>
        <v>60000</v>
      </c>
      <c r="BU62" s="266">
        <v>3.0</v>
      </c>
      <c r="BV62" s="264" t="b">
        <v>0</v>
      </c>
      <c r="BW62" s="265">
        <f>IF(CreationNode3, "MAX", 33000)</f>
        <v>33000</v>
      </c>
      <c r="BY62" s="99"/>
      <c r="BZ62" s="58"/>
      <c r="CA62" s="58"/>
      <c r="CB62" s="58"/>
      <c r="CC62" s="58"/>
    </row>
    <row r="63">
      <c r="A63" s="58"/>
      <c r="AA63" s="58"/>
      <c r="AB63" s="271"/>
      <c r="AC63" s="271"/>
      <c r="AD63" s="271"/>
      <c r="AE63" s="271"/>
      <c r="AF63" s="271"/>
      <c r="AG63" s="271"/>
      <c r="AH63" s="271"/>
      <c r="AI63" s="271"/>
      <c r="AJ63" s="271"/>
      <c r="AY63" s="271"/>
      <c r="AZ63" s="271"/>
      <c r="BA63" s="271"/>
      <c r="BB63" s="271"/>
      <c r="BC63" s="58"/>
      <c r="BD63" s="132"/>
      <c r="BE63" s="210"/>
      <c r="BF63" s="210"/>
      <c r="BG63" s="210"/>
      <c r="BH63" s="210"/>
      <c r="BI63" s="210"/>
      <c r="BJ63" s="210"/>
      <c r="BK63" s="210"/>
      <c r="BL63" s="210"/>
      <c r="BM63" s="210"/>
      <c r="BN63" s="210"/>
      <c r="BO63" s="210"/>
      <c r="BP63" s="210"/>
      <c r="BQ63" s="210"/>
      <c r="BR63" s="210"/>
      <c r="BS63" s="210"/>
      <c r="BT63" s="210"/>
      <c r="BU63" s="210"/>
      <c r="BV63" s="210"/>
      <c r="BW63" s="210"/>
      <c r="BX63" s="210"/>
      <c r="BY63" s="133"/>
      <c r="BZ63" s="58"/>
      <c r="CA63" s="58"/>
      <c r="CB63" s="58"/>
      <c r="CC63" s="58"/>
    </row>
    <row r="64">
      <c r="A64" s="58"/>
      <c r="AA64" s="58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  <c r="BC64" s="58"/>
      <c r="BD64" s="273" t="s">
        <v>197</v>
      </c>
      <c r="BI64" s="274"/>
      <c r="BN64" s="275"/>
      <c r="BO64" s="274"/>
      <c r="BP64" s="274"/>
      <c r="BU64" s="274"/>
      <c r="BY64" s="99"/>
      <c r="BZ64" s="58"/>
      <c r="CA64" s="58"/>
      <c r="CB64" s="58"/>
      <c r="CC64" s="58"/>
    </row>
    <row r="65">
      <c r="A65" s="58"/>
      <c r="AA65" s="58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58"/>
      <c r="BD65" s="267">
        <v>1.0</v>
      </c>
      <c r="BE65" s="268" t="b">
        <v>0</v>
      </c>
      <c r="BF65" s="269">
        <f>IF(PowerNode1, "MAX", 750000000)</f>
        <v>750000000</v>
      </c>
      <c r="BI65" s="270"/>
      <c r="BJ65" s="268"/>
      <c r="BK65" s="269"/>
      <c r="BN65" s="210"/>
      <c r="BO65" s="210"/>
      <c r="BP65" s="270"/>
      <c r="BQ65" s="268"/>
      <c r="BR65" s="269"/>
      <c r="BU65" s="270"/>
      <c r="BV65" s="268"/>
      <c r="BW65" s="269"/>
      <c r="BY65" s="92"/>
      <c r="BZ65" s="58"/>
      <c r="CA65" s="58"/>
      <c r="CB65" s="58"/>
      <c r="CC65" s="58"/>
    </row>
    <row r="66">
      <c r="A66" s="58"/>
      <c r="AA66" s="58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1"/>
      <c r="BC66" s="58"/>
      <c r="BD66" s="263">
        <v>2.0</v>
      </c>
      <c r="BE66" s="264" t="b">
        <v>0</v>
      </c>
      <c r="BF66" s="265">
        <f>IF(PowerNode2, "MAX", 3000000000)</f>
        <v>3000000000</v>
      </c>
      <c r="BI66" s="266"/>
      <c r="BJ66" s="264"/>
      <c r="BK66" s="265"/>
      <c r="BN66" s="201"/>
      <c r="BO66" s="201"/>
      <c r="BP66" s="266"/>
      <c r="BQ66" s="264"/>
      <c r="BR66" s="265"/>
      <c r="BU66" s="266"/>
      <c r="BV66" s="264"/>
      <c r="BW66" s="265"/>
      <c r="BY66" s="99"/>
      <c r="BZ66" s="58"/>
      <c r="CA66" s="58"/>
      <c r="CB66" s="58"/>
      <c r="CC66" s="58"/>
    </row>
    <row r="67">
      <c r="A67" s="58"/>
      <c r="AA67" s="58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1"/>
      <c r="BC67" s="58"/>
      <c r="BD67" s="276">
        <v>3.0</v>
      </c>
      <c r="BE67" s="277" t="b">
        <v>0</v>
      </c>
      <c r="BF67" s="278">
        <f>IF(PowerNode3, "MAX", 10000000000)</f>
        <v>10000000000</v>
      </c>
      <c r="BG67" s="279"/>
      <c r="BH67" s="279"/>
      <c r="BI67" s="280"/>
      <c r="BJ67" s="277"/>
      <c r="BK67" s="278"/>
      <c r="BL67" s="279"/>
      <c r="BM67" s="279"/>
      <c r="BN67" s="281"/>
      <c r="BO67" s="281"/>
      <c r="BP67" s="280"/>
      <c r="BQ67" s="277"/>
      <c r="BR67" s="278"/>
      <c r="BS67" s="279"/>
      <c r="BT67" s="279"/>
      <c r="BU67" s="280"/>
      <c r="BV67" s="277"/>
      <c r="BW67" s="278"/>
      <c r="BX67" s="279"/>
      <c r="BY67" s="282"/>
      <c r="BZ67" s="58"/>
      <c r="CA67" s="58"/>
      <c r="CB67" s="58"/>
      <c r="CC67" s="58"/>
    </row>
    <row r="68">
      <c r="A68" s="58"/>
      <c r="AA68" s="58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</row>
    <row r="69">
      <c r="A69" s="58"/>
      <c r="AA69" s="58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  <c r="BC69" s="58"/>
      <c r="BD69" s="283" t="s">
        <v>198</v>
      </c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284"/>
      <c r="BZ69" s="58"/>
      <c r="CA69" s="58"/>
      <c r="CB69" s="58"/>
      <c r="CC69" s="58"/>
    </row>
    <row r="70">
      <c r="A70" s="58"/>
      <c r="AA70" s="58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58"/>
      <c r="BD70" s="132"/>
      <c r="BE70" s="210"/>
      <c r="BF70" s="285" t="s">
        <v>199</v>
      </c>
      <c r="BM70" s="165">
        <f>SUM(BP9:BP55)
+ IF(AND(ISNONTEXT(BF60),BE60),BF60,0) + IF(AND(ISNONTEXT(BF61),BE61),BF61,0) + IF(AND(ISNONTEXT(BF62),BE62),BF62,0)
+ IF(AND(ISNONTEXT(BK60),BJ60),BK60,0) + IF(AND(ISNONTEXT(BK61),BJ61),BK61,0) + IF(AND(ISNONTEXT(BK62),BJ62),BK62,0)
+ IF(AND(ISNONTEXT(BR60),BQ60),BR60,0) + IF(AND(ISNONTEXT(BR61),BQ61),BR61,0) + IF(AND(ISNONTEXT(BR62),BQ62),BR62,0)
+ IF(AND(ISNONTEXT(BW60),BV60),BW60,0) + IF(AND(ISNONTEXT(BW61),BV61),BW61,0) + IF(AND(ISNONTEXT(BW62),BV62),BW62,0)
+ IF(AND(ISNONTEXT(BF65),BE65),BF65,0) + IF(AND(ISNONTEXT(BF66),BE66),BF66,0) + IF(AND(ISNONTEXT(BF67),BE67),BF67,0)</f>
        <v>0</v>
      </c>
      <c r="BY70" s="94"/>
      <c r="BZ70" s="58"/>
      <c r="CA70" s="58"/>
      <c r="CB70" s="58"/>
      <c r="CC70" s="58"/>
    </row>
    <row r="71">
      <c r="A71" s="58"/>
      <c r="AA71" s="58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58"/>
      <c r="BD71" s="286"/>
      <c r="BE71" s="201"/>
      <c r="BF71" s="201"/>
      <c r="BG71" s="201"/>
      <c r="BH71" s="201"/>
      <c r="BI71" s="201"/>
      <c r="BJ71" s="201"/>
      <c r="BK71" s="201"/>
      <c r="BL71" s="2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39"/>
      <c r="BZ71" s="58"/>
      <c r="CA71" s="58"/>
      <c r="CB71" s="58"/>
      <c r="CC71" s="58"/>
    </row>
    <row r="72">
      <c r="A72" s="58"/>
      <c r="B72" s="246" t="s">
        <v>200</v>
      </c>
      <c r="AA72" s="58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58"/>
      <c r="BD72" s="89" t="s">
        <v>201</v>
      </c>
      <c r="BM72" s="144">
        <f>IF(BM70-BK5&gt;0, BM70-BK5, 0)</f>
        <v>0</v>
      </c>
      <c r="BY72" s="94"/>
      <c r="BZ72" s="58"/>
      <c r="CA72" s="58"/>
      <c r="CB72" s="58"/>
      <c r="C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287" t="str">
        <f>if(BM72-BK6&lt;0, "Surplus:", "Missing Funds:")</f>
        <v>Surplus:</v>
      </c>
      <c r="BE73" s="15"/>
      <c r="BF73" s="15"/>
      <c r="BG73" s="15"/>
      <c r="BH73" s="15"/>
      <c r="BI73" s="15"/>
      <c r="BJ73" s="15"/>
      <c r="BK73" s="15"/>
      <c r="BL73" s="15"/>
      <c r="BM73" s="288">
        <f>if(BM72-BK6&lt;0, BK6+BK5-BM70, BM72-BK6)</f>
        <v>1300000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6"/>
      <c r="BZ73" s="58"/>
      <c r="CA73" s="58"/>
      <c r="CB73" s="58"/>
      <c r="C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</row>
  </sheetData>
  <mergeCells count="434">
    <mergeCell ref="L20:N20"/>
    <mergeCell ref="L21:N21"/>
    <mergeCell ref="L22:N22"/>
    <mergeCell ref="O22:Q22"/>
    <mergeCell ref="L23:N23"/>
    <mergeCell ref="O23:Q23"/>
    <mergeCell ref="O20:Q20"/>
    <mergeCell ref="X20:AD20"/>
    <mergeCell ref="V23:AF23"/>
    <mergeCell ref="W24:Y24"/>
    <mergeCell ref="Z24:AA24"/>
    <mergeCell ref="AB24:AD24"/>
    <mergeCell ref="U26:Y26"/>
    <mergeCell ref="BD31:BI31"/>
    <mergeCell ref="BD32:BI32"/>
    <mergeCell ref="BD33:BI33"/>
    <mergeCell ref="BK33:BM33"/>
    <mergeCell ref="BD23:BI23"/>
    <mergeCell ref="BD24:BI24"/>
    <mergeCell ref="BD26:BI26"/>
    <mergeCell ref="BD27:BI27"/>
    <mergeCell ref="BD28:BI28"/>
    <mergeCell ref="BD29:BI29"/>
    <mergeCell ref="BD30:BI30"/>
    <mergeCell ref="E35:I35"/>
    <mergeCell ref="L35:N35"/>
    <mergeCell ref="O35:Q35"/>
    <mergeCell ref="E36:I36"/>
    <mergeCell ref="L36:N36"/>
    <mergeCell ref="O36:Q36"/>
    <mergeCell ref="E21:I21"/>
    <mergeCell ref="E22:I22"/>
    <mergeCell ref="E23:I23"/>
    <mergeCell ref="G32:I32"/>
    <mergeCell ref="J32:K32"/>
    <mergeCell ref="L32:N32"/>
    <mergeCell ref="E34:I34"/>
    <mergeCell ref="E17:I17"/>
    <mergeCell ref="O17:Q17"/>
    <mergeCell ref="AR17:AT17"/>
    <mergeCell ref="AU17:AW17"/>
    <mergeCell ref="BD17:BI17"/>
    <mergeCell ref="E18:I18"/>
    <mergeCell ref="O18:Q18"/>
    <mergeCell ref="L17:N17"/>
    <mergeCell ref="L18:N18"/>
    <mergeCell ref="E19:I19"/>
    <mergeCell ref="L19:N19"/>
    <mergeCell ref="O19:Q19"/>
    <mergeCell ref="E20:I20"/>
    <mergeCell ref="O21:Q21"/>
    <mergeCell ref="U27:Y27"/>
    <mergeCell ref="AB27:AD27"/>
    <mergeCell ref="AE27:AG27"/>
    <mergeCell ref="H28:N28"/>
    <mergeCell ref="AB28:AD28"/>
    <mergeCell ref="AE28:AG28"/>
    <mergeCell ref="AN28:AT28"/>
    <mergeCell ref="F31:P31"/>
    <mergeCell ref="AL31:AV31"/>
    <mergeCell ref="BK31:BM31"/>
    <mergeCell ref="AP32:AQ32"/>
    <mergeCell ref="AR32:AT32"/>
    <mergeCell ref="BK32:BM32"/>
    <mergeCell ref="AK17:AO17"/>
    <mergeCell ref="AK18:AO18"/>
    <mergeCell ref="AK19:AO19"/>
    <mergeCell ref="AK20:AO20"/>
    <mergeCell ref="AK21:AO21"/>
    <mergeCell ref="AK22:AO22"/>
    <mergeCell ref="AM32:AO32"/>
    <mergeCell ref="AK34:AO34"/>
    <mergeCell ref="AR34:AT34"/>
    <mergeCell ref="AR35:AT35"/>
    <mergeCell ref="BD34:BI34"/>
    <mergeCell ref="BD35:BI35"/>
    <mergeCell ref="BD36:BJ36"/>
    <mergeCell ref="BK36:BM36"/>
    <mergeCell ref="BD37:BI37"/>
    <mergeCell ref="BK37:BM37"/>
    <mergeCell ref="BK38:BM38"/>
    <mergeCell ref="BD38:BI38"/>
    <mergeCell ref="BD39:BI39"/>
    <mergeCell ref="BK39:BM39"/>
    <mergeCell ref="BD40:BI40"/>
    <mergeCell ref="BK40:BM40"/>
    <mergeCell ref="BD41:BI41"/>
    <mergeCell ref="BD42:BI42"/>
    <mergeCell ref="AB46:AD46"/>
    <mergeCell ref="AE46:AG46"/>
    <mergeCell ref="AB42:AD42"/>
    <mergeCell ref="AB43:AD43"/>
    <mergeCell ref="AB44:AD44"/>
    <mergeCell ref="AE44:AG44"/>
    <mergeCell ref="AB45:AD45"/>
    <mergeCell ref="AE45:AG45"/>
    <mergeCell ref="AN45:AT45"/>
    <mergeCell ref="L34:N34"/>
    <mergeCell ref="O34:Q34"/>
    <mergeCell ref="AU34:AW34"/>
    <mergeCell ref="BK34:BM34"/>
    <mergeCell ref="X35:AD35"/>
    <mergeCell ref="AU35:AW35"/>
    <mergeCell ref="BK35:BM35"/>
    <mergeCell ref="AK35:AO35"/>
    <mergeCell ref="AK36:AO36"/>
    <mergeCell ref="AR36:AT36"/>
    <mergeCell ref="AU36:AW36"/>
    <mergeCell ref="AK37:AO37"/>
    <mergeCell ref="AU37:AW37"/>
    <mergeCell ref="AK38:AO38"/>
    <mergeCell ref="AU38:AW38"/>
    <mergeCell ref="AR37:AT37"/>
    <mergeCell ref="AR38:AT38"/>
    <mergeCell ref="V39:AF39"/>
    <mergeCell ref="AK39:AO39"/>
    <mergeCell ref="AR39:AT39"/>
    <mergeCell ref="AU39:AW39"/>
    <mergeCell ref="W40:Y40"/>
    <mergeCell ref="BK41:BM41"/>
    <mergeCell ref="BK42:BM42"/>
    <mergeCell ref="BD43:BI43"/>
    <mergeCell ref="BK43:BM43"/>
    <mergeCell ref="BD44:BI44"/>
    <mergeCell ref="BK44:BM44"/>
    <mergeCell ref="BD46:BI46"/>
    <mergeCell ref="BK46:BM46"/>
    <mergeCell ref="BD47:BI47"/>
    <mergeCell ref="BK47:BM47"/>
    <mergeCell ref="U43:Y43"/>
    <mergeCell ref="U44:Y44"/>
    <mergeCell ref="H45:N45"/>
    <mergeCell ref="U45:Y45"/>
    <mergeCell ref="U46:Y46"/>
    <mergeCell ref="U47:Y47"/>
    <mergeCell ref="AB47:AD47"/>
    <mergeCell ref="AE47:AG47"/>
    <mergeCell ref="Z40:AA40"/>
    <mergeCell ref="AB40:AD40"/>
    <mergeCell ref="AB41:AD41"/>
    <mergeCell ref="AE41:AG41"/>
    <mergeCell ref="U42:Y42"/>
    <mergeCell ref="AE42:AG42"/>
    <mergeCell ref="AE43:AG43"/>
    <mergeCell ref="BP49:BU49"/>
    <mergeCell ref="BV49:BY49"/>
    <mergeCell ref="BP46:BY46"/>
    <mergeCell ref="BP47:BU47"/>
    <mergeCell ref="BV47:BY47"/>
    <mergeCell ref="BD48:BI48"/>
    <mergeCell ref="BP48:BU48"/>
    <mergeCell ref="BV48:BY48"/>
    <mergeCell ref="BD49:BI49"/>
    <mergeCell ref="BP21:BU21"/>
    <mergeCell ref="BV21:BY21"/>
    <mergeCell ref="BD22:BI22"/>
    <mergeCell ref="BK22:BM22"/>
    <mergeCell ref="BV22:BY22"/>
    <mergeCell ref="BK23:BM23"/>
    <mergeCell ref="BV23:BY23"/>
    <mergeCell ref="BP22:BU22"/>
    <mergeCell ref="BP23:BU23"/>
    <mergeCell ref="BK24:BM24"/>
    <mergeCell ref="BP24:BY24"/>
    <mergeCell ref="BD25:BI25"/>
    <mergeCell ref="BP25:BU25"/>
    <mergeCell ref="BV25:BY25"/>
    <mergeCell ref="BK25:BM25"/>
    <mergeCell ref="BK26:BM26"/>
    <mergeCell ref="BP26:BU26"/>
    <mergeCell ref="BV26:BY26"/>
    <mergeCell ref="BZ26:CC26"/>
    <mergeCell ref="BP27:BU27"/>
    <mergeCell ref="BV27:BY27"/>
    <mergeCell ref="BK27:BM27"/>
    <mergeCell ref="BK28:BM28"/>
    <mergeCell ref="BP28:BU28"/>
    <mergeCell ref="BV28:BY28"/>
    <mergeCell ref="BK29:BM29"/>
    <mergeCell ref="BV29:BY29"/>
    <mergeCell ref="BK30:BM30"/>
    <mergeCell ref="BV30:BY30"/>
    <mergeCell ref="BP29:BU29"/>
    <mergeCell ref="BP30:BU30"/>
    <mergeCell ref="BP31:BU31"/>
    <mergeCell ref="BV31:BY31"/>
    <mergeCell ref="BP32:BY32"/>
    <mergeCell ref="BP33:BU33"/>
    <mergeCell ref="BV33:BY33"/>
    <mergeCell ref="BP34:BU34"/>
    <mergeCell ref="BV34:BY34"/>
    <mergeCell ref="BP35:BU35"/>
    <mergeCell ref="BV35:BY35"/>
    <mergeCell ref="BP36:BU36"/>
    <mergeCell ref="BV36:BY36"/>
    <mergeCell ref="BP37:BY37"/>
    <mergeCell ref="BK48:BM48"/>
    <mergeCell ref="BK49:BM49"/>
    <mergeCell ref="U50:Y50"/>
    <mergeCell ref="U51:Y51"/>
    <mergeCell ref="AE51:AG51"/>
    <mergeCell ref="AK51:AP51"/>
    <mergeCell ref="AU51:AZ51"/>
    <mergeCell ref="AJ52:AP52"/>
    <mergeCell ref="AU52:AZ52"/>
    <mergeCell ref="AB51:AD51"/>
    <mergeCell ref="X53:AD53"/>
    <mergeCell ref="S54:AI54"/>
    <mergeCell ref="AK54:AP54"/>
    <mergeCell ref="AF55:AH55"/>
    <mergeCell ref="AK55:AP55"/>
    <mergeCell ref="AK56:AP56"/>
    <mergeCell ref="AB26:AD26"/>
    <mergeCell ref="AE26:AG26"/>
    <mergeCell ref="U28:Y28"/>
    <mergeCell ref="V29:Y29"/>
    <mergeCell ref="AB29:AD29"/>
    <mergeCell ref="AE29:AG29"/>
    <mergeCell ref="V30:Y30"/>
    <mergeCell ref="AB30:AD30"/>
    <mergeCell ref="AE30:AG30"/>
    <mergeCell ref="B48:E48"/>
    <mergeCell ref="U48:Y48"/>
    <mergeCell ref="AB48:AD48"/>
    <mergeCell ref="AE48:AG48"/>
    <mergeCell ref="AK48:AP48"/>
    <mergeCell ref="AR48:AT48"/>
    <mergeCell ref="AU48:AZ48"/>
    <mergeCell ref="F48:I48"/>
    <mergeCell ref="U49:Y49"/>
    <mergeCell ref="AB49:AD49"/>
    <mergeCell ref="AE49:AG49"/>
    <mergeCell ref="AL49:AP49"/>
    <mergeCell ref="AR49:AT49"/>
    <mergeCell ref="AU49:AZ49"/>
    <mergeCell ref="B49:Q49"/>
    <mergeCell ref="B50:Q50"/>
    <mergeCell ref="AB50:AD50"/>
    <mergeCell ref="AE50:AG50"/>
    <mergeCell ref="AK50:AP50"/>
    <mergeCell ref="AR50:AT50"/>
    <mergeCell ref="AU50:AZ50"/>
    <mergeCell ref="B56:Z56"/>
    <mergeCell ref="B57:Z71"/>
    <mergeCell ref="B72:Z72"/>
    <mergeCell ref="AK59:AP59"/>
    <mergeCell ref="AK60:AP60"/>
    <mergeCell ref="AR60:AS60"/>
    <mergeCell ref="AU60:AV60"/>
    <mergeCell ref="AK61:AP61"/>
    <mergeCell ref="AR61:AS61"/>
    <mergeCell ref="AU61:AV61"/>
    <mergeCell ref="AK62:AX63"/>
    <mergeCell ref="AR56:AS56"/>
    <mergeCell ref="AK57:AP57"/>
    <mergeCell ref="AR57:AS57"/>
    <mergeCell ref="AK58:AP58"/>
    <mergeCell ref="AR58:AS58"/>
    <mergeCell ref="AR59:AS59"/>
    <mergeCell ref="AU59:AV59"/>
    <mergeCell ref="BD51:BI51"/>
    <mergeCell ref="BD52:BI52"/>
    <mergeCell ref="BK52:BM52"/>
    <mergeCell ref="BP52:BU52"/>
    <mergeCell ref="BV52:BY52"/>
    <mergeCell ref="BD53:BI53"/>
    <mergeCell ref="BD54:BI54"/>
    <mergeCell ref="BD55:BI55"/>
    <mergeCell ref="BK55:BM55"/>
    <mergeCell ref="BP55:BU55"/>
    <mergeCell ref="BV55:BY55"/>
    <mergeCell ref="BD56:BY56"/>
    <mergeCell ref="BD57:BY57"/>
    <mergeCell ref="BD58:BY58"/>
    <mergeCell ref="BP64:BT64"/>
    <mergeCell ref="BR65:BT65"/>
    <mergeCell ref="BW61:BY61"/>
    <mergeCell ref="BW62:BY62"/>
    <mergeCell ref="BD64:BH64"/>
    <mergeCell ref="BI64:BM64"/>
    <mergeCell ref="BU64:BY64"/>
    <mergeCell ref="BK65:BM65"/>
    <mergeCell ref="BW65:BY65"/>
    <mergeCell ref="BW66:BY66"/>
    <mergeCell ref="BW67:BY67"/>
    <mergeCell ref="BF65:BH65"/>
    <mergeCell ref="BF66:BH66"/>
    <mergeCell ref="BK66:BM66"/>
    <mergeCell ref="BR66:BT66"/>
    <mergeCell ref="BF67:BH67"/>
    <mergeCell ref="BK67:BM67"/>
    <mergeCell ref="BR67:BT67"/>
    <mergeCell ref="BP38:BU38"/>
    <mergeCell ref="BV38:BY38"/>
    <mergeCell ref="BP39:BU39"/>
    <mergeCell ref="BV39:BY39"/>
    <mergeCell ref="BP40:BU40"/>
    <mergeCell ref="BV40:BY40"/>
    <mergeCell ref="BV41:BY41"/>
    <mergeCell ref="BP41:BU41"/>
    <mergeCell ref="BP42:BU42"/>
    <mergeCell ref="BV42:BY42"/>
    <mergeCell ref="BP43:BU43"/>
    <mergeCell ref="BV43:BY43"/>
    <mergeCell ref="BP44:BU44"/>
    <mergeCell ref="BV44:BY44"/>
    <mergeCell ref="BD50:BI50"/>
    <mergeCell ref="BK50:BM50"/>
    <mergeCell ref="BP50:BU50"/>
    <mergeCell ref="BV50:BY50"/>
    <mergeCell ref="BK51:BM51"/>
    <mergeCell ref="BP51:BU51"/>
    <mergeCell ref="BV51:BY51"/>
    <mergeCell ref="BP53:BU53"/>
    <mergeCell ref="BV53:BY53"/>
    <mergeCell ref="BK53:BM53"/>
    <mergeCell ref="BK54:BM54"/>
    <mergeCell ref="BP54:BU54"/>
    <mergeCell ref="BV54:BY54"/>
    <mergeCell ref="BD69:BY69"/>
    <mergeCell ref="BF70:BL70"/>
    <mergeCell ref="BM70:BX70"/>
    <mergeCell ref="BD72:BL72"/>
    <mergeCell ref="BM72:BX72"/>
    <mergeCell ref="BD73:BL73"/>
    <mergeCell ref="BM73:BY73"/>
    <mergeCell ref="BK14:BM14"/>
    <mergeCell ref="BK15:BM15"/>
    <mergeCell ref="BD16:BI16"/>
    <mergeCell ref="BK16:BM16"/>
    <mergeCell ref="BD9:BI9"/>
    <mergeCell ref="BD10:BI10"/>
    <mergeCell ref="BD11:BI11"/>
    <mergeCell ref="BD13:BI13"/>
    <mergeCell ref="BK13:BM13"/>
    <mergeCell ref="BD14:BI14"/>
    <mergeCell ref="BD15:BI15"/>
    <mergeCell ref="AP15:AQ15"/>
    <mergeCell ref="AR15:AT15"/>
    <mergeCell ref="F12:P12"/>
    <mergeCell ref="F14:O14"/>
    <mergeCell ref="AK14:AW14"/>
    <mergeCell ref="G15:I15"/>
    <mergeCell ref="J15:K15"/>
    <mergeCell ref="L15:N15"/>
    <mergeCell ref="AM15:AO15"/>
    <mergeCell ref="A1:CC3"/>
    <mergeCell ref="AK5:AY6"/>
    <mergeCell ref="BB5:BI5"/>
    <mergeCell ref="BK5:BM5"/>
    <mergeCell ref="V6:AF6"/>
    <mergeCell ref="BB6:BI6"/>
    <mergeCell ref="BK6:BM6"/>
    <mergeCell ref="Z7:AA7"/>
    <mergeCell ref="AB7:AD7"/>
    <mergeCell ref="BD7:BY7"/>
    <mergeCell ref="BD8:BI8"/>
    <mergeCell ref="BK8:BM8"/>
    <mergeCell ref="BP8:BU8"/>
    <mergeCell ref="BV8:BY8"/>
    <mergeCell ref="W7:Y7"/>
    <mergeCell ref="U9:Y9"/>
    <mergeCell ref="AB9:AC9"/>
    <mergeCell ref="AE9:AG9"/>
    <mergeCell ref="AK9:BB10"/>
    <mergeCell ref="BK9:BM9"/>
    <mergeCell ref="BP9:BY9"/>
    <mergeCell ref="BV10:BY10"/>
    <mergeCell ref="BK10:BM10"/>
    <mergeCell ref="BP10:BU10"/>
    <mergeCell ref="BK11:BM11"/>
    <mergeCell ref="BV11:BY11"/>
    <mergeCell ref="BD12:BI12"/>
    <mergeCell ref="BK12:BM12"/>
    <mergeCell ref="BV12:BY12"/>
    <mergeCell ref="BP15:BU15"/>
    <mergeCell ref="BP16:BY16"/>
    <mergeCell ref="BP11:BU11"/>
    <mergeCell ref="BP12:BU12"/>
    <mergeCell ref="BP13:BU13"/>
    <mergeCell ref="BV13:BY13"/>
    <mergeCell ref="BP14:BU14"/>
    <mergeCell ref="BV14:BY14"/>
    <mergeCell ref="BV15:BY15"/>
    <mergeCell ref="BK17:BM17"/>
    <mergeCell ref="BP17:BU17"/>
    <mergeCell ref="BV17:BY17"/>
    <mergeCell ref="BD18:BI18"/>
    <mergeCell ref="BK18:BM18"/>
    <mergeCell ref="BP18:BU18"/>
    <mergeCell ref="BV18:BY18"/>
    <mergeCell ref="BK19:BM19"/>
    <mergeCell ref="BP19:BU19"/>
    <mergeCell ref="BV19:BY19"/>
    <mergeCell ref="BD19:BI19"/>
    <mergeCell ref="BD20:BI20"/>
    <mergeCell ref="BK20:BM20"/>
    <mergeCell ref="BP20:BU20"/>
    <mergeCell ref="BV20:BY20"/>
    <mergeCell ref="BD21:BI21"/>
    <mergeCell ref="BK21:BM21"/>
    <mergeCell ref="AR21:AT21"/>
    <mergeCell ref="AR22:AT22"/>
    <mergeCell ref="AR18:AT18"/>
    <mergeCell ref="AU18:AW18"/>
    <mergeCell ref="AR19:AT19"/>
    <mergeCell ref="AU19:AW19"/>
    <mergeCell ref="AR20:AT20"/>
    <mergeCell ref="AU20:AW20"/>
    <mergeCell ref="AU21:AW21"/>
    <mergeCell ref="AU22:AW22"/>
    <mergeCell ref="AU57:AV57"/>
    <mergeCell ref="AU58:AV58"/>
    <mergeCell ref="AR51:AT51"/>
    <mergeCell ref="AR52:AT52"/>
    <mergeCell ref="AR54:AS54"/>
    <mergeCell ref="AU54:AV54"/>
    <mergeCell ref="AR55:AS55"/>
    <mergeCell ref="AU55:AV55"/>
    <mergeCell ref="AU56:AV56"/>
    <mergeCell ref="BD59:BH59"/>
    <mergeCell ref="BI59:BM59"/>
    <mergeCell ref="BP59:BT59"/>
    <mergeCell ref="BU59:BY59"/>
    <mergeCell ref="BK60:BM60"/>
    <mergeCell ref="BR60:BT60"/>
    <mergeCell ref="BW60:BY60"/>
    <mergeCell ref="BF60:BH60"/>
    <mergeCell ref="BF61:BH61"/>
    <mergeCell ref="BK61:BM61"/>
    <mergeCell ref="BR61:BT61"/>
    <mergeCell ref="BF62:BH62"/>
    <mergeCell ref="BK62:BM62"/>
    <mergeCell ref="BR62:BT62"/>
  </mergeCells>
  <conditionalFormatting sqref="J34">
    <cfRule type="expression" dxfId="4" priority="1">
      <formula>J32&gt;0</formula>
    </cfRule>
  </conditionalFormatting>
  <conditionalFormatting sqref="Z26">
    <cfRule type="expression" dxfId="4" priority="2">
      <formula>Z24&gt;0</formula>
    </cfRule>
  </conditionalFormatting>
  <conditionalFormatting sqref="Z27">
    <cfRule type="expression" dxfId="4" priority="3">
      <formula>Z24&gt;1</formula>
    </cfRule>
  </conditionalFormatting>
  <conditionalFormatting sqref="Z28">
    <cfRule type="expression" dxfId="4" priority="4">
      <formula>Z24&gt;2</formula>
    </cfRule>
  </conditionalFormatting>
  <conditionalFormatting sqref="Z29">
    <cfRule type="expression" dxfId="4" priority="5">
      <formula>Z24&gt;3</formula>
    </cfRule>
  </conditionalFormatting>
  <conditionalFormatting sqref="Z30">
    <cfRule type="expression" dxfId="4" priority="6">
      <formula>Z24&gt;3</formula>
    </cfRule>
  </conditionalFormatting>
  <conditionalFormatting sqref="AP19:AP22">
    <cfRule type="expression" dxfId="4" priority="7">
      <formula>$AP$15&gt;2</formula>
    </cfRule>
  </conditionalFormatting>
  <conditionalFormatting sqref="AP18">
    <cfRule type="expression" dxfId="4" priority="8">
      <formula>AP15&gt;1</formula>
    </cfRule>
  </conditionalFormatting>
  <conditionalFormatting sqref="AP34">
    <cfRule type="expression" dxfId="4" priority="9">
      <formula>AP32&gt;0</formula>
    </cfRule>
  </conditionalFormatting>
  <conditionalFormatting sqref="J17">
    <cfRule type="expression" dxfId="4" priority="10">
      <formula>J15&gt;0</formula>
    </cfRule>
  </conditionalFormatting>
  <conditionalFormatting sqref="Z9">
    <cfRule type="expression" dxfId="4" priority="11">
      <formula>Z7&gt;0</formula>
    </cfRule>
  </conditionalFormatting>
  <conditionalFormatting sqref="Z42:Z50">
    <cfRule type="expression" dxfId="4" priority="12">
      <formula>$Z$40&gt;0</formula>
    </cfRule>
  </conditionalFormatting>
  <conditionalFormatting sqref="J35">
    <cfRule type="expression" dxfId="4" priority="13">
      <formula>J32&gt;1</formula>
    </cfRule>
  </conditionalFormatting>
  <conditionalFormatting sqref="BN9">
    <cfRule type="expression" dxfId="5" priority="14">
      <formula>BK9 = "MAX"</formula>
    </cfRule>
  </conditionalFormatting>
  <conditionalFormatting sqref="BN16">
    <cfRule type="expression" dxfId="5" priority="15">
      <formula>BK16 = "MAX"</formula>
    </cfRule>
  </conditionalFormatting>
  <conditionalFormatting sqref="BN24">
    <cfRule type="expression" dxfId="5" priority="16">
      <formula>BK24 = "MAX"</formula>
    </cfRule>
  </conditionalFormatting>
  <conditionalFormatting sqref="BN32">
    <cfRule type="expression" dxfId="5" priority="17">
      <formula>BK32 = "MAX"</formula>
    </cfRule>
  </conditionalFormatting>
  <conditionalFormatting sqref="B49:Q49">
    <cfRule type="containsText" dxfId="6" priority="18" operator="containsText" text="You have the latest Version!">
      <formula>NOT(ISERROR(SEARCH(("You have the latest Version!"),(B49))))</formula>
    </cfRule>
  </conditionalFormatting>
  <conditionalFormatting sqref="B50:Q50">
    <cfRule type="containsText" dxfId="6" priority="19" operator="containsText" text="No Need">
      <formula>NOT(ISERROR(SEARCH(("No Need"),(B50))))</formula>
    </cfRule>
  </conditionalFormatting>
  <conditionalFormatting sqref="BP9:BY55">
    <cfRule type="containsText" dxfId="5" priority="20" operator="containsText" text="Error">
      <formula>NOT(ISERROR(SEARCH(("Error"),(BP9))))</formula>
    </cfRule>
  </conditionalFormatting>
  <conditionalFormatting sqref="BP9:BY55">
    <cfRule type="containsText" dxfId="7" priority="21" operator="containsText" text="Maxed">
      <formula>NOT(ISERROR(SEARCH(("Maxed"),(BP9))))</formula>
    </cfRule>
  </conditionalFormatting>
  <conditionalFormatting sqref="BD73">
    <cfRule type="expression" dxfId="7" priority="22">
      <formula>BM72-BK6&gt;0</formula>
    </cfRule>
  </conditionalFormatting>
  <conditionalFormatting sqref="BM73:BY73">
    <cfRule type="expression" dxfId="7" priority="23">
      <formula>BM72-BK6&gt;0</formula>
    </cfRule>
  </conditionalFormatting>
  <conditionalFormatting sqref="J36">
    <cfRule type="expression" dxfId="4" priority="24">
      <formula>J32 &gt; 2</formula>
    </cfRule>
  </conditionalFormatting>
  <conditionalFormatting sqref="BN37">
    <cfRule type="expression" dxfId="5" priority="25">
      <formula>BK37 = "MAX"</formula>
    </cfRule>
  </conditionalFormatting>
  <conditionalFormatting sqref="BV10:BY10">
    <cfRule type="expression" dxfId="8" priority="26">
      <formula>AND(NOT(BN9), BN10&lt;1)</formula>
    </cfRule>
  </conditionalFormatting>
  <conditionalFormatting sqref="BV11:BY11">
    <cfRule type="expression" dxfId="8" priority="27">
      <formula>AND(NOT(BN9), BN11&lt;1)</formula>
    </cfRule>
  </conditionalFormatting>
  <conditionalFormatting sqref="BV12:BY12">
    <cfRule type="expression" dxfId="8" priority="28">
      <formula>AND(NOT(BN9), BN12&lt;1)</formula>
    </cfRule>
  </conditionalFormatting>
  <conditionalFormatting sqref="BV17:BY17">
    <cfRule type="expression" dxfId="8" priority="29">
      <formula>AND(NOT(BN16), BN17&lt;1)</formula>
    </cfRule>
  </conditionalFormatting>
  <conditionalFormatting sqref="BV18:BY18">
    <cfRule type="expression" dxfId="8" priority="30">
      <formula>AND(NOT(BN16), BN18&lt;1)</formula>
    </cfRule>
  </conditionalFormatting>
  <conditionalFormatting sqref="BV33:BY33">
    <cfRule type="expression" dxfId="8" priority="31">
      <formula>AND(NOT(BN32), BN33&lt;1)</formula>
    </cfRule>
  </conditionalFormatting>
  <conditionalFormatting sqref="BV34:BY34">
    <cfRule type="expression" dxfId="8" priority="32">
      <formula>AND(NOT(BN32), BN34&lt;1)</formula>
    </cfRule>
  </conditionalFormatting>
  <conditionalFormatting sqref="BV35:BY35">
    <cfRule type="expression" dxfId="8" priority="33">
      <formula>AND(NOT(BN32), BN35&lt;1)</formula>
    </cfRule>
  </conditionalFormatting>
  <conditionalFormatting sqref="BV38:BY38">
    <cfRule type="expression" dxfId="8" priority="34">
      <formula>AND(NOT(BN37), BN38&lt;1)</formula>
    </cfRule>
  </conditionalFormatting>
  <conditionalFormatting sqref="BV39:BY39">
    <cfRule type="expression" dxfId="8" priority="35">
      <formula>AND(NOT(BN37), BN39&lt;1)</formula>
    </cfRule>
  </conditionalFormatting>
  <conditionalFormatting sqref="BV40:BY40">
    <cfRule type="expression" dxfId="8" priority="36">
      <formula>AND(NOT(BN37), BN40&lt;1)</formula>
    </cfRule>
  </conditionalFormatting>
  <conditionalFormatting sqref="BV41:BY41">
    <cfRule type="expression" dxfId="8" priority="37">
      <formula>AND(NOT(BN37), BN41&lt;1)</formula>
    </cfRule>
  </conditionalFormatting>
  <conditionalFormatting sqref="BV42:BY42">
    <cfRule type="expression" dxfId="8" priority="38">
      <formula>AND(NOT(BN37), BN42&lt;1)</formula>
    </cfRule>
  </conditionalFormatting>
  <conditionalFormatting sqref="BV43:BY43">
    <cfRule type="expression" dxfId="8" priority="39">
      <formula>AND(NOT(BN37), BN43&lt;1)</formula>
    </cfRule>
  </conditionalFormatting>
  <conditionalFormatting sqref="BV44:BY44">
    <cfRule type="expression" dxfId="8" priority="40">
      <formula>AND(NOT(BN37), BN44&lt;1)</formula>
    </cfRule>
  </conditionalFormatting>
  <conditionalFormatting sqref="J18">
    <cfRule type="expression" dxfId="4" priority="41">
      <formula>J15&gt;1</formula>
    </cfRule>
  </conditionalFormatting>
  <conditionalFormatting sqref="J19">
    <cfRule type="expression" dxfId="4" priority="42">
      <formula>J15&gt;1</formula>
    </cfRule>
  </conditionalFormatting>
  <conditionalFormatting sqref="J20">
    <cfRule type="expression" dxfId="4" priority="43">
      <formula>J15&gt;2</formula>
    </cfRule>
  </conditionalFormatting>
  <conditionalFormatting sqref="J21">
    <cfRule type="expression" dxfId="4" priority="44">
      <formula>J15&gt;2</formula>
    </cfRule>
  </conditionalFormatting>
  <conditionalFormatting sqref="J22">
    <cfRule type="expression" dxfId="4" priority="45">
      <formula>J15&gt;2</formula>
    </cfRule>
  </conditionalFormatting>
  <conditionalFormatting sqref="J23">
    <cfRule type="expression" dxfId="4" priority="46">
      <formula>J15&gt;2</formula>
    </cfRule>
  </conditionalFormatting>
  <conditionalFormatting sqref="BN46">
    <cfRule type="expression" dxfId="5" priority="47">
      <formula>BK46 = "MAX"</formula>
    </cfRule>
  </conditionalFormatting>
  <conditionalFormatting sqref="BV47:BY47">
    <cfRule type="expression" dxfId="9" priority="48">
      <formula>AND(NOT(BN46), BN47&lt;1)</formula>
    </cfRule>
  </conditionalFormatting>
  <conditionalFormatting sqref="BV48:BY48">
    <cfRule type="expression" dxfId="9" priority="49">
      <formula>AND(NOT(BN46), BN48&lt;1)</formula>
    </cfRule>
  </conditionalFormatting>
  <conditionalFormatting sqref="BV49:BY49">
    <cfRule type="expression" dxfId="9" priority="50">
      <formula>AND(NOT(BN46), BN49&lt;1)</formula>
    </cfRule>
  </conditionalFormatting>
  <conditionalFormatting sqref="BV50:BY50">
    <cfRule type="expression" dxfId="9" priority="51">
      <formula>AND(NOT(BN46), BN50&lt;1)</formula>
    </cfRule>
  </conditionalFormatting>
  <conditionalFormatting sqref="BV51:BY51">
    <cfRule type="expression" dxfId="9" priority="52">
      <formula>AND(NOT(BN46), BN51&lt;1)</formula>
    </cfRule>
  </conditionalFormatting>
  <conditionalFormatting sqref="BV52:BY52">
    <cfRule type="expression" dxfId="9" priority="53">
      <formula>AND(NOT(BN46), BN52&lt;1)</formula>
    </cfRule>
  </conditionalFormatting>
  <conditionalFormatting sqref="BV53:BY53">
    <cfRule type="expression" dxfId="9" priority="54">
      <formula>AND(NOT(BN46), BN53&lt;1)</formula>
    </cfRule>
  </conditionalFormatting>
  <conditionalFormatting sqref="BV54:BY54">
    <cfRule type="expression" dxfId="9" priority="55">
      <formula>AND(NOT(BN46), BN54&lt;1)</formula>
    </cfRule>
  </conditionalFormatting>
  <conditionalFormatting sqref="BV55:BY55">
    <cfRule type="expression" dxfId="9" priority="56">
      <formula>AND(NOT(BN46), BN55&lt;1)</formula>
    </cfRule>
  </conditionalFormatting>
  <conditionalFormatting sqref="BV25:BY25">
    <cfRule type="expression" dxfId="9" priority="57">
      <formula>AND(NOT(BN24), BN25&lt;1)</formula>
    </cfRule>
  </conditionalFormatting>
  <conditionalFormatting sqref="BV13:BY13">
    <cfRule type="expression" dxfId="8" priority="58">
      <formula>AND(NOT(BN9), BN13&lt;1)</formula>
    </cfRule>
  </conditionalFormatting>
  <conditionalFormatting sqref="BV14:BY14">
    <cfRule type="expression" dxfId="8" priority="59">
      <formula>AND(NOT(BN9), BN14&lt;1)</formula>
    </cfRule>
  </conditionalFormatting>
  <conditionalFormatting sqref="CC24">
    <cfRule type="notContainsBlanks" dxfId="10" priority="60">
      <formula>LEN(TRIM(CC24))&gt;0</formula>
    </cfRule>
  </conditionalFormatting>
  <conditionalFormatting sqref="AP17">
    <cfRule type="expression" dxfId="11" priority="61">
      <formula>AP15&gt;0</formula>
    </cfRule>
  </conditionalFormatting>
  <conditionalFormatting sqref="BV19:BY19">
    <cfRule type="expression" dxfId="8" priority="62">
      <formula>AND(NOT(BN16), BN19&lt;1)</formula>
    </cfRule>
  </conditionalFormatting>
  <conditionalFormatting sqref="BV20:BY20">
    <cfRule type="expression" dxfId="8" priority="63">
      <formula>AND(NOT(BN16), BN20&lt;1)</formula>
    </cfRule>
  </conditionalFormatting>
  <conditionalFormatting sqref="BV21:BY21">
    <cfRule type="expression" dxfId="8" priority="64">
      <formula>AND(NOT(BN16), BN21&lt;1)</formula>
    </cfRule>
  </conditionalFormatting>
  <conditionalFormatting sqref="BV22:BY22">
    <cfRule type="expression" dxfId="8" priority="65">
      <formula>AND(NOT(BN16), BN22&lt;1)</formula>
    </cfRule>
  </conditionalFormatting>
  <conditionalFormatting sqref="AP35:AP39">
    <cfRule type="expression" dxfId="4" priority="66">
      <formula>$AP$32&gt;1</formula>
    </cfRule>
  </conditionalFormatting>
  <conditionalFormatting sqref="BV26:BY26">
    <cfRule type="expression" dxfId="8" priority="67">
      <formula>AND(NOT(BN24), BN26&lt;1)</formula>
    </cfRule>
  </conditionalFormatting>
  <conditionalFormatting sqref="BV27:BY27">
    <cfRule type="expression" dxfId="8" priority="68">
      <formula>AND(NOT(BN24), BN27&lt;1)</formula>
    </cfRule>
  </conditionalFormatting>
  <conditionalFormatting sqref="BV28:BY28">
    <cfRule type="expression" dxfId="8" priority="69">
      <formula>AND(NOT(BN24), BN28&lt;1)</formula>
    </cfRule>
  </conditionalFormatting>
  <conditionalFormatting sqref="BV29:BY29">
    <cfRule type="expression" dxfId="8" priority="70">
      <formula>AND(NOT(BN24), BN29&lt;1)</formula>
    </cfRule>
  </conditionalFormatting>
  <conditionalFormatting sqref="BV30:BY30">
    <cfRule type="expression" dxfId="8" priority="71">
      <formula>AND(NOT(BN24), BN30&lt;1)</formula>
    </cfRule>
  </conditionalFormatting>
  <dataValidations>
    <dataValidation type="list" allowBlank="1" showErrorMessage="1" sqref="AP15">
      <formula1>"0,1,2,3"</formula1>
    </dataValidation>
    <dataValidation type="list" allowBlank="1" showErrorMessage="1" sqref="Z7">
      <formula1>"0,1"</formula1>
    </dataValidation>
    <dataValidation type="list" allowBlank="1" showErrorMessage="1" sqref="AP32">
      <formula1>"0,1,2"</formula1>
    </dataValidation>
    <dataValidation type="list" allowBlank="1" showErrorMessage="1" sqref="Z40">
      <formula1>"0,1"</formula1>
    </dataValidation>
    <dataValidation type="list" allowBlank="1" showErrorMessage="1" sqref="Z24">
      <formula1>"0,1,2,3,4,5"</formula1>
    </dataValidation>
    <dataValidation type="list" allowBlank="1" showErrorMessage="1" sqref="J15 J32">
      <formula1>"0,1,2,3"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5.38"/>
    <col customWidth="1" min="5" max="5" width="2.75"/>
  </cols>
  <sheetData>
    <row r="1">
      <c r="A1" s="1"/>
      <c r="B1" s="5"/>
      <c r="C1" s="5"/>
      <c r="D1" s="5"/>
      <c r="E1" s="1"/>
    </row>
    <row r="2">
      <c r="A2" s="9"/>
      <c r="B2" s="10" t="s">
        <v>3</v>
      </c>
      <c r="D2" s="12"/>
      <c r="E2" s="1"/>
    </row>
    <row r="3">
      <c r="A3" s="9"/>
      <c r="D3" s="12"/>
      <c r="E3" s="1"/>
    </row>
    <row r="4">
      <c r="A4" s="9"/>
      <c r="B4" s="15"/>
      <c r="C4" s="15"/>
      <c r="D4" s="16"/>
      <c r="E4" s="1"/>
    </row>
    <row r="5">
      <c r="A5" s="9"/>
      <c r="B5" s="17" t="s">
        <v>5</v>
      </c>
      <c r="C5" s="17" t="s">
        <v>7</v>
      </c>
      <c r="D5" s="17" t="s">
        <v>8</v>
      </c>
      <c r="E5" s="1"/>
    </row>
    <row r="6">
      <c r="A6" s="9"/>
      <c r="B6" s="9" t="s">
        <v>9</v>
      </c>
      <c r="C6" s="9" t="s">
        <v>10</v>
      </c>
      <c r="D6" s="19">
        <v>1000.0</v>
      </c>
      <c r="E6" s="1"/>
    </row>
    <row r="7">
      <c r="A7" s="9"/>
      <c r="B7" s="9" t="s">
        <v>12</v>
      </c>
      <c r="C7" s="9" t="s">
        <v>13</v>
      </c>
      <c r="D7" s="19">
        <v>1000000.0</v>
      </c>
      <c r="E7" s="1"/>
    </row>
    <row r="8">
      <c r="A8" s="9"/>
      <c r="B8" s="9" t="s">
        <v>14</v>
      </c>
      <c r="C8" s="9" t="s">
        <v>16</v>
      </c>
      <c r="D8" s="19">
        <v>1.0E9</v>
      </c>
      <c r="E8" s="1"/>
    </row>
    <row r="9">
      <c r="A9" s="9"/>
      <c r="B9" s="9" t="s">
        <v>17</v>
      </c>
      <c r="C9" s="9" t="s">
        <v>18</v>
      </c>
      <c r="D9" s="19">
        <v>1.0E12</v>
      </c>
      <c r="E9" s="1"/>
    </row>
    <row r="10">
      <c r="A10" s="9"/>
      <c r="B10" s="9" t="s">
        <v>19</v>
      </c>
      <c r="C10" s="9" t="s">
        <v>20</v>
      </c>
      <c r="D10" s="19">
        <v>1.0E15</v>
      </c>
      <c r="E10" s="1"/>
    </row>
    <row r="11">
      <c r="A11" s="9"/>
      <c r="B11" s="23" t="s">
        <v>21</v>
      </c>
      <c r="C11" s="9" t="s">
        <v>22</v>
      </c>
      <c r="D11" s="19">
        <v>1.0E18</v>
      </c>
      <c r="E11" s="1"/>
    </row>
    <row r="12">
      <c r="A12" s="9"/>
      <c r="B12" s="9" t="s">
        <v>23</v>
      </c>
      <c r="C12" s="9" t="s">
        <v>24</v>
      </c>
      <c r="D12" s="19">
        <v>1.0E21</v>
      </c>
      <c r="E12" s="1"/>
    </row>
    <row r="13">
      <c r="A13" s="9"/>
      <c r="B13" s="9" t="s">
        <v>25</v>
      </c>
      <c r="C13" s="9" t="s">
        <v>26</v>
      </c>
      <c r="D13" s="19">
        <v>1.0E24</v>
      </c>
      <c r="E13" s="1"/>
    </row>
    <row r="14">
      <c r="A14" s="9"/>
      <c r="B14" s="9" t="s">
        <v>28</v>
      </c>
      <c r="C14" s="9" t="s">
        <v>29</v>
      </c>
      <c r="D14" s="19">
        <v>1.0E27</v>
      </c>
      <c r="E14" s="1"/>
    </row>
    <row r="15">
      <c r="A15" s="9"/>
      <c r="B15" s="9" t="s">
        <v>30</v>
      </c>
      <c r="C15" s="9" t="s">
        <v>31</v>
      </c>
      <c r="D15" s="19">
        <v>1.0E30</v>
      </c>
      <c r="E15" s="1"/>
    </row>
    <row r="16">
      <c r="A16" s="9"/>
      <c r="B16" s="25" t="s">
        <v>32</v>
      </c>
      <c r="C16" s="25" t="s">
        <v>34</v>
      </c>
      <c r="D16" s="27">
        <v>1.0E33</v>
      </c>
      <c r="E16" s="1"/>
    </row>
    <row r="17">
      <c r="A17" s="1"/>
      <c r="B17" s="1"/>
      <c r="C17" s="1"/>
      <c r="D17" s="1"/>
      <c r="E17" s="1"/>
    </row>
  </sheetData>
  <mergeCells count="1">
    <mergeCell ref="B2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1.38"/>
    <col customWidth="1" min="6" max="6" width="26.25"/>
  </cols>
  <sheetData>
    <row r="1">
      <c r="A1" s="3"/>
      <c r="B1" s="6"/>
      <c r="C1" s="8"/>
      <c r="D1" s="3"/>
      <c r="E1" s="3"/>
      <c r="F1" s="3"/>
      <c r="G1" s="3"/>
      <c r="H1" s="3"/>
      <c r="I1" s="3"/>
      <c r="J1" s="3"/>
      <c r="K1" s="3"/>
    </row>
    <row r="2">
      <c r="A2" s="3"/>
      <c r="B2" s="11" t="s">
        <v>4</v>
      </c>
      <c r="E2" s="13"/>
      <c r="F2" s="14"/>
      <c r="G2" s="3"/>
      <c r="H2" s="3"/>
      <c r="I2" s="3"/>
      <c r="J2" s="3"/>
      <c r="K2" s="3"/>
    </row>
    <row r="3">
      <c r="A3" s="3"/>
      <c r="B3" s="6"/>
      <c r="C3" s="8"/>
      <c r="D3" s="3"/>
      <c r="E3" s="3"/>
      <c r="F3" s="3"/>
      <c r="G3" s="3"/>
      <c r="H3" s="3"/>
      <c r="I3" s="3"/>
      <c r="J3" s="3"/>
      <c r="K3" s="3"/>
    </row>
    <row r="4">
      <c r="A4" s="3"/>
      <c r="B4" s="18" t="s">
        <v>6</v>
      </c>
      <c r="C4" s="30">
        <f>IF(MainSheet!BN9 = False, 0, IF(MainSheet!BK9 = "MAX", "Gem is Maxed, Please untick", MainSheet!BK9))</f>
        <v>0</v>
      </c>
      <c r="D4" s="3"/>
      <c r="E4" s="3"/>
      <c r="F4" s="18" t="s">
        <v>38</v>
      </c>
      <c r="G4" s="3">
        <f>IF(MainSheet!BN46 = False, 0, IF(MainSheet!BK46 = "MAX", "Gem is Maxed, Please untick", MainSheet!BK46))</f>
        <v>0</v>
      </c>
      <c r="H4" s="3"/>
      <c r="I4" s="3"/>
      <c r="J4" s="3"/>
      <c r="K4" s="3"/>
    </row>
    <row r="5">
      <c r="A5" s="3"/>
      <c r="B5" s="18" t="s">
        <v>44</v>
      </c>
      <c r="C5" s="38">
        <f t="array" ref="C5">IF(MainSheet!BN10&gt;=999, "MAXED", IF(MainSheet!BN10&lt;1, 0, SUM(OFFSET(INDIRECT("'ExodusData'!H" &amp; MATCH(MainSheet!Z26, ExodusData!G:G, 0)), 0, 0, MainSheet!BN10, 1))))</f>
        <v>0</v>
      </c>
      <c r="D5" s="3"/>
      <c r="E5" s="3"/>
      <c r="F5" s="18" t="s">
        <v>60</v>
      </c>
      <c r="G5" s="3">
        <f t="array" ref="G5">IF(MainSheet!BN47&gt;=50, "MAXED", IF(MainSheet!BN47&lt;1, 0, SUM(OFFSET(INDIRECT("'PowerData'!H" &amp; MATCH(MainSheet!Z42, PowerData!G:G, 0)), 0, 0, MainSheet!BN47, 1))))</f>
        <v>0</v>
      </c>
      <c r="H5" s="3"/>
      <c r="I5" s="3"/>
      <c r="J5" s="3"/>
      <c r="K5" s="3"/>
    </row>
    <row r="6">
      <c r="A6" s="3"/>
      <c r="B6" s="18" t="s">
        <v>69</v>
      </c>
      <c r="C6" s="8">
        <f t="array" ref="C6">IF(MainSheet!BN11&gt;=999, "MAXED", IF(MainSheet!BN11&lt;1, 0, SUM(OFFSET(INDIRECT("'ExodusData'!L" &amp; MATCH(MainSheet!Z27, ExodusData!K:K, 0)), 0, 0, MainSheet!BN11, 1))))</f>
        <v>0</v>
      </c>
      <c r="D6" s="3"/>
      <c r="E6" s="3"/>
      <c r="F6" s="18" t="s">
        <v>70</v>
      </c>
      <c r="G6" s="3">
        <f t="array" ref="G6">IF(MainSheet!BN48&gt;=50, "MAXED", IF(MainSheet!BN48&lt;1, 0, SUM(OFFSET(INDIRECT("'PowerData'!L" &amp; MATCH(MainSheet!Z43, PowerData!K:K, 0)), 0, 0, MainSheet!BN48, 1))))</f>
        <v>0</v>
      </c>
      <c r="H6" s="3"/>
      <c r="I6" s="3"/>
      <c r="J6" s="3"/>
      <c r="K6" s="3"/>
    </row>
    <row r="7">
      <c r="A7" s="3"/>
      <c r="B7" s="18" t="s">
        <v>71</v>
      </c>
      <c r="C7" s="8">
        <f t="array" ref="C7">IF(MainSheet!BN12&gt;=999, "MAXED", IF(MainSheet!BN12&lt;1, 0, SUM(OFFSET(INDIRECT("'ExodusData'!P" &amp; MATCH(MainSheet!Z28, ExodusData!O:O, 0)), 0, 0, MainSheet!BN12, 1))))</f>
        <v>0</v>
      </c>
      <c r="D7" s="3"/>
      <c r="E7" s="3"/>
      <c r="F7" s="18" t="s">
        <v>79</v>
      </c>
      <c r="G7" s="3">
        <f t="array" ref="G7">IF(MainSheet!BN49&gt;=50, "MAXED", IF(MainSheet!BN49&lt;1, 0, SUM(OFFSET(INDIRECT("'PowerData'!P" &amp; MATCH(MainSheet!Z44, PowerData!O:O, 0)), 0, 0, MainSheet!BN49, 1))))</f>
        <v>0</v>
      </c>
      <c r="H7" s="3"/>
      <c r="I7" s="3"/>
      <c r="J7" s="3"/>
      <c r="K7" s="3"/>
    </row>
    <row r="8">
      <c r="A8" s="3"/>
      <c r="B8" s="18" t="s">
        <v>81</v>
      </c>
      <c r="C8" s="8">
        <f t="array" ref="C8">IF(MainSheet!BN13&gt;=999, "MAXED", IF(MainSheet!BN13&lt;1, 0, SUM(OFFSET(INDIRECT("'ExodusData'!T" &amp; MATCH(MainSheet!Z29, ExodusData!S:S, 0)), 0, 0, MainSheet!BN13, 1))))</f>
        <v>0</v>
      </c>
      <c r="D8" s="3"/>
      <c r="E8" s="3"/>
      <c r="F8" s="18" t="s">
        <v>85</v>
      </c>
      <c r="G8" s="3">
        <f t="array" ref="G8">IF(MainSheet!BN50&gt;=50, "MAXED", IF(MainSheet!BN50&lt;1, 0, SUM(OFFSET(INDIRECT("'PowerData'!T" &amp; MATCH(MainSheet!Z45, PowerData!S:S, 0)), 0, 0, MainSheet!BN50, 1))))</f>
        <v>0</v>
      </c>
      <c r="H8" s="3"/>
      <c r="I8" s="3"/>
      <c r="J8" s="3"/>
      <c r="K8" s="3"/>
    </row>
    <row r="9">
      <c r="A9" s="3"/>
      <c r="B9" s="18" t="s">
        <v>86</v>
      </c>
      <c r="C9" s="8">
        <f t="array" ref="C9">IF(MainSheet!BN14&gt;=999, "MAXED", IF(MainSheet!BN14&lt;1, 0, SUM(OFFSET(INDIRECT("'ExodusData'!W" &amp; MATCH(MainSheet!Z30, ExodusData!V:V, 0)), 0, 0, MainSheet!BN14, 1))))</f>
        <v>0</v>
      </c>
      <c r="D9" s="3"/>
      <c r="E9" s="3"/>
      <c r="F9" s="18" t="s">
        <v>87</v>
      </c>
      <c r="G9" s="3">
        <f t="array" ref="G9">IF(MainSheet!BN51&gt;=50, "MAXED", IF(MainSheet!BN51&lt;1, 0, SUM(OFFSET(INDIRECT("'PowerData'!X" &amp; MATCH(MainSheet!Z46, PowerData!W:W, 0)), 0, 0, MainSheet!BN51, 1))))</f>
        <v>0</v>
      </c>
      <c r="H9" s="3"/>
      <c r="I9" s="3"/>
      <c r="J9" s="3"/>
      <c r="K9" s="3"/>
    </row>
    <row r="10">
      <c r="A10" s="3"/>
      <c r="B10" s="6"/>
      <c r="C10" s="8"/>
      <c r="D10" s="3"/>
      <c r="E10" s="3"/>
      <c r="F10" s="18" t="s">
        <v>89</v>
      </c>
      <c r="G10" s="3">
        <f t="array" ref="G10">IF(MainSheet!BN52&gt;=50, "MAXED", IF(MainSheet!BN52&lt;1, 0, SUM(OFFSET(INDIRECT("'PowerData'!AB" &amp; MATCH(MainSheet!Z47, PowerData!AA:AA, 0)), 0, 0, MainSheet!BN52, 1))))</f>
        <v>0</v>
      </c>
      <c r="H10" s="3"/>
      <c r="I10" s="3"/>
      <c r="J10" s="3"/>
      <c r="K10" s="3"/>
    </row>
    <row r="11">
      <c r="A11" s="3"/>
      <c r="B11" s="6"/>
      <c r="C11" s="8"/>
      <c r="D11" s="3"/>
      <c r="E11" s="3"/>
      <c r="F11" s="18" t="s">
        <v>91</v>
      </c>
      <c r="G11" s="3">
        <f t="array" ref="G11">IF(MainSheet!BN53&gt;=50, "MAXED", IF(MainSheet!BN53&lt;1, 0, SUM(OFFSET(INDIRECT("'PowerData'!AF" &amp; MATCH(MainSheet!Z48, PowerData!AE:AE, 0)), 0, 0, MainSheet!BN53, 1))))</f>
        <v>0</v>
      </c>
      <c r="H11" s="3"/>
      <c r="I11" s="3"/>
      <c r="J11" s="3"/>
      <c r="K11" s="3"/>
    </row>
    <row r="12">
      <c r="A12" s="3"/>
      <c r="B12" s="18" t="s">
        <v>93</v>
      </c>
      <c r="C12" s="30">
        <f>IF(MainSheet!BN16 = False, 0, IF(MainSheet!BK16 = "MAX", "Gem is Maxed, Please untick", MainSheet!BK16))</f>
        <v>0</v>
      </c>
      <c r="D12" s="3"/>
      <c r="E12" s="3"/>
      <c r="F12" s="18" t="s">
        <v>94</v>
      </c>
      <c r="G12" s="3">
        <f t="array" ref="G12">IF(MainSheet!BN54&gt;=50, "MAXED", IF(MainSheet!BN54&lt;1, 0, SUM(OFFSET(INDIRECT("'PowerData'!AJ" &amp; MATCH(MainSheet!Z49, PowerData!AI:AI, 0)), 0, 0, MainSheet!BN54, 1))))</f>
        <v>0</v>
      </c>
      <c r="H12" s="3"/>
      <c r="I12" s="3"/>
      <c r="J12" s="3"/>
      <c r="K12" s="3"/>
    </row>
    <row r="13">
      <c r="A13" s="3"/>
      <c r="B13" s="18" t="s">
        <v>95</v>
      </c>
      <c r="C13" s="30">
        <f t="array" ref="C13">IF(MainSheet!BN17&gt;=50, "MAXED", IF(MainSheet!BN17&lt;1, 0, SUM(OFFSET(INDIRECT("'TemporalData'!H" &amp; MATCH(MainSheet!AP17, TemporalData!G:G, 0)), 0, 0, MainSheet!BN17, 1))))</f>
        <v>0</v>
      </c>
      <c r="D13" s="3"/>
      <c r="E13" s="3"/>
      <c r="F13" s="18" t="s">
        <v>96</v>
      </c>
      <c r="G13" s="3">
        <f t="array" ref="G13">IF(MainSheet!BN55&gt;=50, "MAXED", IF(MainSheet!BN55&lt;1, 0, SUM(OFFSET(INDIRECT("'PowerData'!AN" &amp; MATCH(MainSheet!Z50, PowerData!AM:AM, 0)), 0, 0, MainSheet!BN55, 1))))</f>
        <v>0</v>
      </c>
      <c r="H13" s="3"/>
      <c r="I13" s="3"/>
      <c r="J13" s="3"/>
      <c r="K13" s="3"/>
    </row>
    <row r="14">
      <c r="A14" s="3"/>
      <c r="B14" s="18" t="s">
        <v>98</v>
      </c>
      <c r="C14" s="8">
        <f t="array" ref="C14">IF(MainSheet!BN18&gt;=50, "MAXED", IF(MainSheet!BN18&lt;1, 0, SUM(OFFSET(INDIRECT("'TemporalData'!L" &amp; MATCH(MainSheet!AP18, TemporalData!K:K, 0)), 0, 0, MainSheet!BN18, 1))))</f>
        <v>0</v>
      </c>
      <c r="D14" s="3"/>
      <c r="E14" s="3"/>
      <c r="F14" s="14"/>
      <c r="G14" s="3"/>
      <c r="H14" s="3"/>
      <c r="I14" s="3"/>
      <c r="J14" s="3"/>
      <c r="K14" s="3"/>
    </row>
    <row r="15">
      <c r="A15" s="3"/>
      <c r="B15" s="18" t="s">
        <v>99</v>
      </c>
      <c r="C15" s="8">
        <f t="array" ref="C15">IF(MainSheet!BN19&gt;=10, "MAXED", IF(MainSheet!BN19&lt;1, 0, SUM(OFFSET(INDIRECT("'TemporalData'!P" &amp; MATCH(MainSheet!AP19, TemporalData!O:O, 0)), 0, 0, MainSheet!BN19, 1))))</f>
        <v>0</v>
      </c>
      <c r="D15" s="3"/>
      <c r="E15" s="3"/>
      <c r="F15" s="3"/>
      <c r="G15" s="3"/>
      <c r="H15" s="3"/>
      <c r="I15" s="3"/>
      <c r="J15" s="3"/>
      <c r="K15" s="3"/>
    </row>
    <row r="16">
      <c r="A16" s="3"/>
      <c r="B16" s="18" t="s">
        <v>100</v>
      </c>
      <c r="C16" s="8">
        <f t="array" ref="C16">IF(MainSheet!BN20&gt;=100, "MAXED", IF(MainSheet!BN20&lt;1, 0, SUM(OFFSET(INDIRECT("'TemporalData'!T" &amp; MATCH(MainSheet!AP20, TemporalData!S:S, 0)), 0, 0, MainSheet!BN20, 1))))</f>
        <v>0</v>
      </c>
      <c r="D16" s="3"/>
      <c r="E16" s="3"/>
      <c r="F16" s="3"/>
      <c r="G16" s="3"/>
      <c r="H16" s="3"/>
      <c r="I16" s="3"/>
      <c r="J16" s="3"/>
      <c r="K16" s="3"/>
    </row>
    <row r="17">
      <c r="A17" s="3"/>
      <c r="B17" s="63" t="s">
        <v>102</v>
      </c>
      <c r="C17" s="8">
        <f t="array" ref="C17">IF(MainSheet!BN21&gt;=30, "MAXED", IF(MainSheet!BN21&lt;1, 0, SUM(OFFSET(INDIRECT("'TemporalData'!X" &amp; MATCH(MainSheet!AP21, TemporalData!W:W, 0)), 0, 0, MainSheet!BN21, 1))))</f>
        <v>0</v>
      </c>
      <c r="D17" s="3"/>
      <c r="E17" s="3"/>
      <c r="F17" s="3"/>
      <c r="G17" s="3"/>
      <c r="H17" s="3"/>
      <c r="I17" s="3"/>
      <c r="J17" s="3"/>
      <c r="K17" s="3"/>
    </row>
    <row r="18">
      <c r="A18" s="3"/>
      <c r="B18" s="63" t="s">
        <v>106</v>
      </c>
      <c r="C18" s="8">
        <f t="array" ref="C18">IF(MainSheet!BN22&gt;=30, "MAXED", IF(MainSheet!BN22&lt;1, 0, SUM(OFFSET(INDIRECT("'TemporalData'!AB" &amp; MATCH(MainSheet!AP22, TemporalData!AA:AA, 0)), 0, 0, MainSheet!BN22, 1))))</f>
        <v>0</v>
      </c>
      <c r="D18" s="3"/>
      <c r="E18" s="3"/>
      <c r="F18" s="14"/>
      <c r="G18" s="3"/>
      <c r="H18" s="3"/>
      <c r="I18" s="3"/>
      <c r="J18" s="3"/>
      <c r="K18" s="3"/>
    </row>
    <row r="19">
      <c r="A19" s="3"/>
      <c r="B19" s="39"/>
      <c r="C19" s="71"/>
      <c r="D19" s="3"/>
      <c r="E19" s="3"/>
      <c r="F19" s="3"/>
      <c r="G19" s="3"/>
      <c r="H19" s="3"/>
      <c r="I19" s="3"/>
      <c r="J19" s="3"/>
      <c r="K19" s="3"/>
    </row>
    <row r="20">
      <c r="A20" s="3"/>
      <c r="B20" s="39"/>
      <c r="C20" s="71"/>
      <c r="D20" s="3"/>
      <c r="E20" s="3"/>
      <c r="F20" s="3"/>
      <c r="G20" s="3"/>
      <c r="H20" s="3"/>
      <c r="I20" s="3"/>
      <c r="J20" s="3"/>
      <c r="K20" s="3"/>
    </row>
    <row r="21">
      <c r="A21" s="3"/>
      <c r="B21" s="18" t="s">
        <v>112</v>
      </c>
      <c r="C21" s="30">
        <f>IF(MainSheet!BN24 = False, 0, IF(MainSheet!BK24 = "MAX", "Gem is Maxed, Please untick", MainSheet!BK24))</f>
        <v>0</v>
      </c>
      <c r="D21" s="3"/>
      <c r="E21" s="3"/>
      <c r="F21" s="3"/>
      <c r="G21" s="3"/>
      <c r="H21" s="3"/>
      <c r="I21" s="3"/>
      <c r="J21" s="3"/>
      <c r="K21" s="3"/>
    </row>
    <row r="22">
      <c r="A22" s="3"/>
      <c r="B22" s="18" t="s">
        <v>113</v>
      </c>
      <c r="C22" s="38">
        <f t="array" ref="C22">IF(MainSheet!BN25&gt;=50, "MAXED", IF(MainSheet!BN25&lt;1, 0, SUM(OFFSET(INDIRECT("'InnovationData'!H" &amp; MATCH(MainSheet!AP34, InnovationData!G:G, 0)), 0, 0, MainSheet!BN25, 1))))</f>
        <v>0</v>
      </c>
      <c r="D22" s="3"/>
      <c r="E22" s="3"/>
      <c r="F22" s="14"/>
      <c r="G22" s="3"/>
      <c r="H22" s="3"/>
      <c r="I22" s="3"/>
      <c r="J22" s="3"/>
      <c r="K22" s="3"/>
    </row>
    <row r="23">
      <c r="A23" s="3"/>
      <c r="B23" s="18" t="s">
        <v>44</v>
      </c>
      <c r="C23" s="38">
        <f t="array" ref="C23">IF(MainSheet!BN26&gt;=50, "MAXED", IF(MainSheet!BN26&lt;1, 0, SUM(OFFSET(INDIRECT("'InnovationData'!L" &amp; MATCH(MainSheet!AP35, InnovationData!K:K, 0)), 0, 0, MainSheet!BN26, 1))))</f>
        <v>0</v>
      </c>
      <c r="D23" s="3"/>
      <c r="E23" s="3"/>
      <c r="F23" s="14"/>
      <c r="G23" s="3"/>
      <c r="H23" s="3"/>
      <c r="I23" s="3"/>
      <c r="J23" s="3"/>
      <c r="K23" s="3"/>
    </row>
    <row r="24">
      <c r="A24" s="3"/>
      <c r="B24" s="18" t="s">
        <v>81</v>
      </c>
      <c r="C24" s="38">
        <f t="array" ref="C24">IF(MainSheet!BN27&gt;=50, "MAXED", IF(MainSheet!BN27&lt;1, 0, SUM(OFFSET(INDIRECT("'InnovationData'!P" &amp; MATCH(MainSheet!AP36, InnovationData!O:O, 0)), 0, 0, MainSheet!BN27, 1))))</f>
        <v>0</v>
      </c>
      <c r="D24" s="3"/>
      <c r="E24" s="3"/>
      <c r="F24" s="14"/>
      <c r="G24" s="3"/>
      <c r="H24" s="3"/>
      <c r="I24" s="3"/>
      <c r="J24" s="3"/>
      <c r="K24" s="3"/>
    </row>
    <row r="25">
      <c r="A25" s="3"/>
      <c r="B25" s="18" t="s">
        <v>69</v>
      </c>
      <c r="C25" s="71">
        <f t="array" ref="C25">IF(MainSheet!BN28&gt;=50, "MAXED", IF(MainSheet!BN28&lt;1, 0, SUM(OFFSET(INDIRECT("'InnovationData'!T" &amp; MATCH(MainSheet!AP37, InnovationData!S:S, 0)), 0, 0, MainSheet!BN28, 1))))</f>
        <v>0</v>
      </c>
      <c r="D25" s="3"/>
      <c r="E25" s="3"/>
      <c r="F25" s="3"/>
      <c r="G25" s="3"/>
      <c r="H25" s="3"/>
      <c r="I25" s="3"/>
      <c r="J25" s="3"/>
      <c r="K25" s="3"/>
    </row>
    <row r="26">
      <c r="A26" s="3"/>
      <c r="B26" s="18" t="s">
        <v>71</v>
      </c>
      <c r="C26" s="71">
        <f t="array" ref="C26">IF(MainSheet!BN29&gt;=50, "MAXED", IF(MainSheet!BN29&lt;1, 0, SUM(OFFSET(INDIRECT("'InnovationData'!X" &amp; MATCH(MainSheet!AP38, InnovationData!W:W, 0)), 0, 0, MainSheet!BN29, 1))))</f>
        <v>0</v>
      </c>
      <c r="D26" s="3"/>
      <c r="E26" s="3"/>
      <c r="F26" s="3"/>
      <c r="G26" s="3"/>
      <c r="H26" s="3"/>
      <c r="I26" s="3"/>
      <c r="J26" s="3"/>
      <c r="K26" s="3"/>
    </row>
    <row r="27">
      <c r="A27" s="3"/>
      <c r="B27" s="18" t="s">
        <v>86</v>
      </c>
      <c r="C27" s="71">
        <f t="array" ref="C27">IF(MainSheet!BN30&gt;=50, "MAXED", IF(MainSheet!BN30&lt;1, 0, SUM(OFFSET(INDIRECT("'InnovationData'!AB" &amp; MATCH(MainSheet!AP39, InnovationData!AA:AA, 0)), 0, 0, MainSheet!BN30, 1))))</f>
        <v>0</v>
      </c>
      <c r="D27" s="3"/>
      <c r="E27" s="3"/>
      <c r="F27" s="3"/>
      <c r="G27" s="3"/>
      <c r="H27" s="3"/>
      <c r="I27" s="3"/>
      <c r="J27" s="3"/>
      <c r="K27" s="3"/>
    </row>
    <row r="28">
      <c r="A28" s="3"/>
      <c r="C28" s="71"/>
      <c r="D28" s="3"/>
      <c r="E28" s="3"/>
      <c r="F28" s="14"/>
      <c r="G28" s="3"/>
      <c r="H28" s="3"/>
      <c r="I28" s="3"/>
      <c r="J28" s="3"/>
      <c r="K28" s="3"/>
    </row>
    <row r="29">
      <c r="A29" s="3"/>
      <c r="C29" s="71"/>
      <c r="D29" s="3"/>
      <c r="E29" s="3"/>
      <c r="F29" s="14"/>
      <c r="G29" s="3"/>
      <c r="H29" s="3"/>
      <c r="I29" s="3"/>
      <c r="J29" s="3"/>
      <c r="K29" s="3"/>
    </row>
    <row r="30">
      <c r="A30" s="3"/>
      <c r="B30" s="18" t="s">
        <v>125</v>
      </c>
      <c r="C30" s="30">
        <f>IF(MainSheet!BN32 = False, 0, IF(MainSheet!BK32 = "MAX", "Gem is Maxed, Please untick", MainSheet!BK32))</f>
        <v>0</v>
      </c>
      <c r="D30" s="3"/>
      <c r="E30" s="3"/>
      <c r="F30" s="14"/>
      <c r="G30" s="3"/>
      <c r="H30" s="3"/>
      <c r="I30" s="3"/>
      <c r="J30" s="3"/>
      <c r="K30" s="3"/>
    </row>
    <row r="31">
      <c r="A31" s="3"/>
      <c r="B31" s="18" t="s">
        <v>126</v>
      </c>
      <c r="C31" s="8">
        <f t="array" ref="C31">IF(MainSheet!BN33&gt;=50, "MAXED", IF(MainSheet!BN33&lt;1, 0, SUM(OFFSET(INDIRECT("'AttractionData'!H" &amp; MATCH(MainSheet!J34, AttractionData!G:G, 0)), 0, 0, MainSheet!BN33, 1))))</f>
        <v>0</v>
      </c>
      <c r="D31" s="3"/>
      <c r="E31" s="3"/>
      <c r="F31" s="14"/>
      <c r="G31" s="3"/>
      <c r="H31" s="3"/>
      <c r="I31" s="3"/>
      <c r="J31" s="3"/>
      <c r="K31" s="3"/>
    </row>
    <row r="32">
      <c r="A32" s="3"/>
      <c r="B32" s="18" t="s">
        <v>127</v>
      </c>
      <c r="C32" s="30">
        <f t="array" ref="C32">IF(MainSheet!BN34&gt;=50, "MAXED", IF(MainSheet!BN34&lt;1, 0, SUM(OFFSET(INDIRECT("'AttractionData'!L" &amp; MATCH(MainSheet!J35, AttractionData!K:K, 0)), 0, 0, MainSheet!BN34, 1))))</f>
        <v>0</v>
      </c>
      <c r="D32" s="3"/>
      <c r="E32" s="3"/>
      <c r="F32" s="14"/>
      <c r="G32" s="3"/>
      <c r="H32" s="3"/>
      <c r="I32" s="3"/>
      <c r="J32" s="3"/>
      <c r="K32" s="3"/>
    </row>
    <row r="33">
      <c r="A33" s="3"/>
      <c r="B33" s="18" t="s">
        <v>128</v>
      </c>
      <c r="C33" s="30">
        <f t="array" ref="C33">IF(MainSheet!BN35&gt;=5, "MAXED", IF(MainSheet!BN35&lt;1, 0, SUM(OFFSET(INDIRECT("'AttractionData'!P" &amp; MATCH(MainSheet!J36, AttractionData!O:O, 0)), 0, 0, MainSheet!BN35, 1))))</f>
        <v>0</v>
      </c>
      <c r="D33" s="3"/>
      <c r="E33" s="3"/>
      <c r="F33" s="14"/>
      <c r="G33" s="3"/>
      <c r="H33" s="3"/>
      <c r="I33" s="3"/>
      <c r="J33" s="3"/>
      <c r="K33" s="3"/>
    </row>
    <row r="34">
      <c r="A34" s="3"/>
      <c r="B34" s="6"/>
      <c r="C34" s="8"/>
      <c r="D34" s="3"/>
      <c r="E34" s="3"/>
      <c r="F34" s="14"/>
      <c r="G34" s="3"/>
      <c r="H34" s="3"/>
      <c r="I34" s="3"/>
      <c r="J34" s="3"/>
      <c r="K34" s="3"/>
    </row>
    <row r="35">
      <c r="A35" s="3"/>
      <c r="B35" s="6"/>
      <c r="C35" s="8"/>
      <c r="D35" s="3"/>
      <c r="E35" s="3"/>
      <c r="F35" s="3"/>
      <c r="G35" s="3"/>
      <c r="H35" s="3"/>
      <c r="I35" s="3"/>
      <c r="J35" s="3"/>
      <c r="K35" s="3"/>
    </row>
    <row r="36">
      <c r="A36" s="3"/>
      <c r="B36" s="18" t="s">
        <v>131</v>
      </c>
      <c r="C36" s="30">
        <f>IF(MainSheet!BN37 = False, 0, IF(MainSheet!BK37 = "MAX", "Gem is Maxed, Please untick", MainSheet!BK37))</f>
        <v>0</v>
      </c>
      <c r="D36" s="3"/>
      <c r="E36" s="3"/>
      <c r="F36" s="3"/>
      <c r="G36" s="3"/>
      <c r="H36" s="3"/>
      <c r="I36" s="3"/>
      <c r="J36" s="3"/>
      <c r="K36" s="3"/>
    </row>
    <row r="37">
      <c r="A37" s="3"/>
      <c r="B37" s="18" t="s">
        <v>132</v>
      </c>
      <c r="C37" s="8">
        <f t="array" ref="C37">IF(MainSheet!BN38&gt;=999, "MAXED", IF(MainSheet!BN38&lt;1, 0, SUM(OFFSET(INDIRECT("'CreationData'!H" &amp; MATCH(MainSheet!J17, CreationData!G:G, 0)), 0, 0, MainSheet!BN38, 1))))</f>
        <v>0</v>
      </c>
      <c r="D37" s="3"/>
      <c r="E37" s="3"/>
      <c r="F37" s="3"/>
      <c r="G37" s="3"/>
      <c r="H37" s="3"/>
      <c r="I37" s="3"/>
      <c r="J37" s="3"/>
      <c r="K37" s="3"/>
    </row>
    <row r="38">
      <c r="A38" s="3"/>
      <c r="B38" s="18" t="s">
        <v>133</v>
      </c>
      <c r="C38" s="8">
        <f t="array" ref="C38">IF(MainSheet!BN39&gt;=20, "MAXED", IF(MainSheet!BN39&lt;1, 0, SUM(OFFSET(INDIRECT("'CreationData'!L" &amp; MATCH(MainSheet!J18, CreationData!K:K, 0)), 0, 0, MainSheet!BN39, 1))))</f>
        <v>0</v>
      </c>
      <c r="D38" s="3"/>
      <c r="E38" s="3"/>
      <c r="F38" s="3"/>
      <c r="G38" s="3"/>
      <c r="H38" s="3"/>
      <c r="I38" s="3"/>
      <c r="J38" s="3"/>
      <c r="K38" s="3"/>
    </row>
    <row r="39">
      <c r="A39" s="3"/>
      <c r="B39" s="18" t="s">
        <v>134</v>
      </c>
      <c r="C39" s="8">
        <f t="array" ref="C39">IF(MainSheet!BN40&gt;=20, "MAXED", IF(MainSheet!BN40&lt;1, 0, SUM(OFFSET(INDIRECT("'CreationData'!P" &amp; MATCH(MainSheet!J19, CreationData!O:O, 0)), 0, 0, MainSheet!BN40, 1))))</f>
        <v>0</v>
      </c>
      <c r="D39" s="3"/>
      <c r="E39" s="3"/>
      <c r="F39" s="3"/>
      <c r="G39" s="3"/>
      <c r="H39" s="3"/>
      <c r="I39" s="3"/>
      <c r="J39" s="3"/>
      <c r="K39" s="3"/>
    </row>
    <row r="40">
      <c r="A40" s="3"/>
      <c r="B40" s="18" t="s">
        <v>44</v>
      </c>
      <c r="C40" s="8">
        <f t="array" ref="C40">IF(MainSheet!BN41&gt;=15, "MAXED", IF(MainSheet!BN41&lt;1, 0, SUM(OFFSET(INDIRECT("'CreationData'!T" &amp; MATCH(MainSheet!J20, CreationData!S:S, 0)), 0, 0, MainSheet!BN41, 1))))</f>
        <v>0</v>
      </c>
      <c r="D40" s="3"/>
      <c r="E40" s="3"/>
      <c r="F40" s="3"/>
      <c r="G40" s="3"/>
      <c r="H40" s="3"/>
      <c r="I40" s="3"/>
      <c r="J40" s="3"/>
      <c r="K40" s="3"/>
    </row>
    <row r="41">
      <c r="A41" s="3"/>
      <c r="B41" s="18" t="s">
        <v>81</v>
      </c>
      <c r="C41" s="8">
        <f t="array" ref="C41">IF(MainSheet!BN42&gt;=15, "MAXED", IF(MainSheet!BN42&lt;1, 0, SUM(OFFSET(INDIRECT("'CreationData'!X" &amp; MATCH(MainSheet!J21, CreationData!W:W, 0)), 0, 0, MainSheet!BN42, 1))))</f>
        <v>0</v>
      </c>
      <c r="D41" s="3"/>
      <c r="E41" s="3"/>
      <c r="F41" s="3"/>
      <c r="G41" s="3"/>
      <c r="H41" s="3"/>
      <c r="I41" s="3"/>
      <c r="J41" s="3"/>
      <c r="K41" s="3"/>
    </row>
    <row r="42">
      <c r="A42" s="3"/>
      <c r="B42" s="18" t="s">
        <v>69</v>
      </c>
      <c r="C42" s="8">
        <f t="array" ref="C42">IF(MainSheet!BN43&gt;=15, "MAXED", IF(MainSheet!BN43&lt;1, 0, SUM(OFFSET(INDIRECT("'CreationData'!AB" &amp; MATCH(MainSheet!J22, CreationData!AA:AA, 0)), 0, 0, MainSheet!BN43, 1))))</f>
        <v>0</v>
      </c>
      <c r="D42" s="3"/>
      <c r="E42" s="3"/>
      <c r="F42" s="3"/>
      <c r="G42" s="3"/>
      <c r="H42" s="3"/>
      <c r="I42" s="3"/>
      <c r="J42" s="3"/>
      <c r="K42" s="3"/>
    </row>
    <row r="43">
      <c r="A43" s="3"/>
      <c r="B43" s="18" t="s">
        <v>137</v>
      </c>
      <c r="C43" s="8">
        <f t="array" ref="C43">IF(MainSheet!BN44&gt;=15, "MAXED", IF(MainSheet!BN44&lt;1, 0, SUM(OFFSET(INDIRECT("'CreationData'!AF" &amp; MATCH(MainSheet!J23, CreationData!AE:AE, 0)), 0, 0, MainSheet!BN44, 1))))</f>
        <v>0</v>
      </c>
      <c r="D43" s="3"/>
      <c r="E43" s="3"/>
      <c r="F43" s="3"/>
      <c r="G43" s="3"/>
      <c r="H43" s="3"/>
      <c r="I43" s="3"/>
      <c r="J43" s="3"/>
      <c r="K43" s="3"/>
    </row>
    <row r="44">
      <c r="A44" s="3"/>
      <c r="B44" s="6"/>
      <c r="C44" s="8"/>
      <c r="D44" s="3"/>
      <c r="E44" s="3"/>
      <c r="F44" s="3"/>
      <c r="G44" s="3"/>
      <c r="H44" s="3"/>
      <c r="I44" s="3"/>
      <c r="J44" s="3"/>
      <c r="K44" s="3"/>
    </row>
    <row r="45">
      <c r="A45" s="3"/>
      <c r="B45" s="6"/>
      <c r="C45" s="8"/>
      <c r="D45" s="3"/>
      <c r="E45" s="3"/>
      <c r="F45" s="3"/>
      <c r="G45" s="3"/>
      <c r="H45" s="3"/>
      <c r="I45" s="3"/>
      <c r="J45" s="3"/>
      <c r="K45" s="3"/>
    </row>
    <row r="46">
      <c r="A46" s="3"/>
      <c r="B46" s="6"/>
      <c r="C46" s="8"/>
      <c r="D46" s="3"/>
      <c r="E46" s="3"/>
      <c r="F46" s="3"/>
      <c r="G46" s="3"/>
      <c r="H46" s="3"/>
      <c r="I46" s="3"/>
      <c r="J46" s="3"/>
      <c r="K46" s="3"/>
    </row>
  </sheetData>
  <mergeCells count="1"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75"/>
  </cols>
  <sheetData>
    <row r="1">
      <c r="A1" s="2" t="s">
        <v>0</v>
      </c>
      <c r="B1" s="4" t="s">
        <v>1</v>
      </c>
      <c r="C1" s="4"/>
      <c r="D1" s="4"/>
      <c r="E1" s="4"/>
      <c r="F1" s="7" t="s">
        <v>2</v>
      </c>
      <c r="G1" s="4"/>
      <c r="H1" s="4"/>
    </row>
    <row r="2">
      <c r="A2" s="2" t="str">
        <f>IFERROR(__xludf.DUMMYFUNCTION("IF(RAND()&gt;10000, ""Wtf Happened Here???"", IMPORTRANGE(""https://docs.google.com/spreadsheets/d/1imrnzxvC9bD0EeUQlD6YYWSZGM2ux8THzVmRleQmAAU/edit?usp=sharing"", ""Ver!A1""))"),"0.1")</f>
        <v>0.1</v>
      </c>
      <c r="B2" s="4" t="s">
        <v>11</v>
      </c>
      <c r="C2" s="4"/>
      <c r="D2" s="20"/>
      <c r="E2" s="4"/>
      <c r="F2" s="21" t="s">
        <v>15</v>
      </c>
    </row>
    <row r="3">
      <c r="A3" s="4"/>
      <c r="B3" s="4"/>
      <c r="C3" s="22"/>
      <c r="D3" s="24" t="s">
        <v>27</v>
      </c>
      <c r="E3" s="4"/>
    </row>
    <row r="4">
      <c r="A4" s="4"/>
      <c r="B4" s="4"/>
      <c r="C4" s="22"/>
      <c r="D4" s="26" t="s">
        <v>33</v>
      </c>
      <c r="E4" s="4"/>
    </row>
    <row r="5">
      <c r="A5" s="4"/>
      <c r="B5" s="4"/>
      <c r="C5" s="22"/>
      <c r="D5" s="28" t="s">
        <v>35</v>
      </c>
      <c r="E5" s="4"/>
    </row>
    <row r="6">
      <c r="A6" s="4"/>
      <c r="B6" s="4"/>
      <c r="C6" s="22"/>
      <c r="D6" s="29" t="s">
        <v>36</v>
      </c>
      <c r="E6" s="4"/>
      <c r="F6" s="4"/>
      <c r="G6" s="4"/>
      <c r="H6" s="4"/>
    </row>
    <row r="7">
      <c r="A7" s="4"/>
      <c r="B7" s="4"/>
      <c r="C7" s="22"/>
      <c r="D7" s="29" t="s">
        <v>37</v>
      </c>
      <c r="E7" s="4"/>
      <c r="F7" s="4"/>
      <c r="G7" s="4"/>
      <c r="H7" s="4"/>
    </row>
    <row r="8">
      <c r="A8" s="4"/>
      <c r="B8" s="4"/>
      <c r="C8" s="4"/>
      <c r="D8" s="29" t="s">
        <v>39</v>
      </c>
      <c r="E8" s="4"/>
      <c r="F8" s="4"/>
      <c r="G8" s="4"/>
      <c r="H8" s="4"/>
    </row>
    <row r="9">
      <c r="A9" s="4"/>
      <c r="B9" s="4"/>
      <c r="C9" s="4"/>
      <c r="D9" s="29" t="s">
        <v>40</v>
      </c>
      <c r="E9" s="4"/>
      <c r="F9" s="4"/>
      <c r="G9" s="4"/>
      <c r="H9" s="4"/>
    </row>
    <row r="10">
      <c r="A10" s="4"/>
      <c r="B10" s="4"/>
      <c r="C10" s="4"/>
      <c r="D10" s="29" t="s">
        <v>41</v>
      </c>
      <c r="E10" s="4"/>
      <c r="F10" s="4"/>
      <c r="G10" s="4"/>
      <c r="H10" s="4"/>
    </row>
    <row r="11">
      <c r="A11" s="4"/>
      <c r="B11" s="4"/>
      <c r="C11" s="4"/>
      <c r="D11" s="29" t="s">
        <v>42</v>
      </c>
      <c r="E11" s="4"/>
      <c r="F11" s="4"/>
      <c r="G11" s="4"/>
      <c r="H11" s="4"/>
    </row>
    <row r="12">
      <c r="A12" s="4"/>
      <c r="B12" s="4"/>
      <c r="C12" s="4"/>
      <c r="D12" s="29" t="s">
        <v>43</v>
      </c>
      <c r="E12" s="4"/>
      <c r="F12" s="4"/>
      <c r="G12" s="4"/>
      <c r="H12" s="4"/>
    </row>
    <row r="13">
      <c r="A13" s="4"/>
      <c r="B13" s="4"/>
      <c r="C13" s="4"/>
      <c r="D13" s="29" t="s">
        <v>45</v>
      </c>
      <c r="E13" s="4"/>
      <c r="F13" s="4"/>
      <c r="G13" s="4"/>
      <c r="H13" s="4"/>
    </row>
    <row r="14">
      <c r="A14" s="4"/>
      <c r="B14" s="4"/>
      <c r="C14" s="4"/>
      <c r="D14" s="29" t="s">
        <v>46</v>
      </c>
      <c r="E14" s="4"/>
      <c r="F14" s="4"/>
      <c r="G14" s="4"/>
      <c r="H14" s="4"/>
    </row>
    <row r="15">
      <c r="A15" s="4"/>
      <c r="B15" s="4"/>
      <c r="C15" s="4"/>
      <c r="D15" s="29" t="s">
        <v>47</v>
      </c>
      <c r="E15" s="4"/>
      <c r="F15" s="4"/>
      <c r="G15" s="4"/>
      <c r="H15" s="4"/>
    </row>
    <row r="16">
      <c r="A16" s="4"/>
      <c r="B16" s="4"/>
      <c r="C16" s="4"/>
      <c r="D16" s="29" t="s">
        <v>48</v>
      </c>
      <c r="E16" s="4"/>
      <c r="F16" s="4"/>
      <c r="G16" s="4"/>
      <c r="H16" s="4"/>
    </row>
    <row r="17">
      <c r="A17" s="4"/>
      <c r="B17" s="4"/>
      <c r="C17" s="4"/>
      <c r="D17" s="29" t="s">
        <v>49</v>
      </c>
      <c r="E17" s="4"/>
      <c r="F17" s="4"/>
      <c r="G17" s="4"/>
      <c r="H17" s="4"/>
    </row>
    <row r="18">
      <c r="A18" s="4"/>
      <c r="B18" s="4"/>
      <c r="C18" s="4"/>
      <c r="D18" s="29" t="s">
        <v>50</v>
      </c>
      <c r="E18" s="4"/>
      <c r="F18" s="4"/>
      <c r="G18" s="4"/>
      <c r="H18" s="4"/>
    </row>
    <row r="19">
      <c r="A19" s="4"/>
      <c r="B19" s="4"/>
      <c r="C19" s="4"/>
      <c r="D19" s="29" t="s">
        <v>51</v>
      </c>
      <c r="E19" s="4"/>
      <c r="F19" s="4"/>
      <c r="G19" s="4"/>
      <c r="H19" s="4"/>
    </row>
    <row r="20">
      <c r="A20" s="4"/>
      <c r="B20" s="4"/>
      <c r="C20" s="4"/>
      <c r="D20" s="33" t="s">
        <v>53</v>
      </c>
      <c r="E20" s="4"/>
      <c r="F20" s="4"/>
      <c r="G20" s="4"/>
      <c r="H20" s="4"/>
    </row>
    <row r="21">
      <c r="A21" s="4"/>
      <c r="B21" s="4"/>
      <c r="C21" s="4"/>
      <c r="D21" s="36" t="s">
        <v>55</v>
      </c>
      <c r="E21" s="4"/>
      <c r="F21" s="4"/>
      <c r="G21" s="4"/>
      <c r="H21" s="4"/>
    </row>
    <row r="22">
      <c r="A22" s="4"/>
      <c r="B22" s="4"/>
      <c r="C22" s="4"/>
      <c r="D22" s="29" t="s">
        <v>57</v>
      </c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39"/>
      <c r="B25" s="39"/>
      <c r="C25" s="39"/>
      <c r="D25" s="39"/>
      <c r="E25" s="39"/>
      <c r="F25" s="39"/>
      <c r="G25" s="39"/>
      <c r="H25" s="39"/>
    </row>
    <row r="26">
      <c r="A26" s="39"/>
      <c r="B26" s="39"/>
      <c r="C26" s="39"/>
      <c r="D26" s="39"/>
      <c r="E26" s="39"/>
      <c r="F26" s="39"/>
      <c r="G26" s="39"/>
      <c r="H26" s="39"/>
    </row>
    <row r="27">
      <c r="A27" s="39"/>
      <c r="B27" s="39"/>
      <c r="C27" s="39"/>
      <c r="D27" s="39"/>
      <c r="E27" s="39"/>
      <c r="F27" s="39"/>
      <c r="G27" s="39"/>
      <c r="H27" s="39"/>
    </row>
    <row r="28">
      <c r="A28" s="39"/>
      <c r="B28" s="39"/>
      <c r="C28" s="39"/>
      <c r="D28" s="39"/>
      <c r="E28" s="39"/>
      <c r="F28" s="39"/>
      <c r="G28" s="39"/>
      <c r="H28" s="39"/>
    </row>
    <row r="29">
      <c r="A29" s="39"/>
      <c r="B29" s="39"/>
      <c r="C29" s="39"/>
      <c r="D29" s="39"/>
      <c r="E29" s="39"/>
      <c r="F29" s="39"/>
      <c r="G29" s="39"/>
      <c r="H29" s="39"/>
    </row>
    <row r="30">
      <c r="A30" s="39"/>
      <c r="B30" s="39"/>
      <c r="C30" s="39"/>
      <c r="D30" s="39"/>
      <c r="E30" s="39"/>
      <c r="F30" s="39"/>
      <c r="G30" s="39"/>
      <c r="H30" s="39"/>
    </row>
    <row r="31">
      <c r="A31" s="39"/>
      <c r="B31" s="39"/>
      <c r="C31" s="39"/>
      <c r="D31" s="39"/>
      <c r="E31" s="39"/>
      <c r="F31" s="39"/>
      <c r="G31" s="39"/>
      <c r="H31" s="39"/>
    </row>
    <row r="32">
      <c r="A32" s="39"/>
      <c r="B32" s="39"/>
      <c r="C32" s="39"/>
      <c r="D32" s="39"/>
      <c r="E32" s="39"/>
      <c r="F32" s="39"/>
      <c r="G32" s="39"/>
      <c r="H32" s="39"/>
    </row>
    <row r="33">
      <c r="A33" s="39"/>
      <c r="B33" s="39"/>
      <c r="C33" s="39"/>
      <c r="D33" s="39"/>
      <c r="E33" s="39"/>
      <c r="F33" s="39"/>
      <c r="G33" s="39"/>
      <c r="H33" s="39"/>
    </row>
    <row r="34">
      <c r="A34" s="39"/>
      <c r="B34" s="39"/>
      <c r="C34" s="39"/>
      <c r="D34" s="39"/>
      <c r="E34" s="39"/>
      <c r="F34" s="39"/>
      <c r="G34" s="39"/>
      <c r="H34" s="39"/>
    </row>
    <row r="35">
      <c r="A35" s="39"/>
      <c r="B35" s="39"/>
      <c r="C35" s="39"/>
      <c r="D35" s="39"/>
      <c r="E35" s="39"/>
      <c r="F35" s="39"/>
      <c r="G35" s="39"/>
      <c r="H35" s="39"/>
    </row>
    <row r="36">
      <c r="A36" s="39"/>
      <c r="B36" s="39"/>
      <c r="C36" s="39"/>
      <c r="D36" s="39"/>
      <c r="E36" s="39"/>
      <c r="F36" s="39"/>
      <c r="G36" s="39"/>
      <c r="H36" s="39"/>
    </row>
    <row r="37">
      <c r="A37" s="39"/>
      <c r="B37" s="39"/>
      <c r="C37" s="39"/>
      <c r="D37" s="39"/>
      <c r="E37" s="39"/>
      <c r="F37" s="39"/>
      <c r="G37" s="39"/>
      <c r="H37" s="39"/>
    </row>
    <row r="38">
      <c r="A38" s="39"/>
      <c r="B38" s="39"/>
      <c r="C38" s="39"/>
      <c r="D38" s="39"/>
      <c r="E38" s="39"/>
      <c r="F38" s="39"/>
      <c r="G38" s="39"/>
      <c r="H38" s="39"/>
    </row>
    <row r="39">
      <c r="A39" s="39"/>
      <c r="B39" s="39"/>
      <c r="C39" s="39"/>
      <c r="D39" s="39"/>
      <c r="E39" s="39"/>
      <c r="F39" s="39"/>
      <c r="G39" s="39"/>
      <c r="H39" s="39"/>
    </row>
    <row r="40">
      <c r="A40" s="39"/>
      <c r="B40" s="39"/>
      <c r="C40" s="39"/>
      <c r="D40" s="39"/>
      <c r="E40" s="39"/>
      <c r="F40" s="39"/>
      <c r="G40" s="39"/>
      <c r="H40" s="39"/>
    </row>
    <row r="41">
      <c r="A41" s="39"/>
      <c r="B41" s="39"/>
      <c r="C41" s="39"/>
      <c r="D41" s="39"/>
      <c r="E41" s="39"/>
      <c r="F41" s="39"/>
      <c r="G41" s="39"/>
      <c r="H41" s="39"/>
    </row>
    <row r="42">
      <c r="A42" s="39"/>
      <c r="B42" s="39"/>
      <c r="C42" s="39"/>
      <c r="D42" s="39"/>
      <c r="E42" s="39"/>
      <c r="F42" s="39"/>
      <c r="G42" s="39"/>
      <c r="H42" s="39"/>
    </row>
    <row r="43">
      <c r="A43" s="39"/>
      <c r="B43" s="39"/>
      <c r="C43" s="39"/>
      <c r="D43" s="39"/>
      <c r="E43" s="39"/>
      <c r="F43" s="39"/>
      <c r="G43" s="39"/>
      <c r="H43" s="39"/>
    </row>
    <row r="44">
      <c r="A44" s="39"/>
      <c r="B44" s="39"/>
      <c r="C44" s="39"/>
      <c r="D44" s="39"/>
      <c r="E44" s="39"/>
      <c r="F44" s="39"/>
      <c r="G44" s="39"/>
      <c r="H44" s="39"/>
    </row>
  </sheetData>
  <mergeCells count="1">
    <mergeCell ref="F2:H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4.13"/>
    <col customWidth="1" min="5" max="5" width="4.5"/>
    <col customWidth="1" min="6" max="6" width="4.88"/>
    <col customWidth="1" min="8" max="8" width="13.38"/>
    <col customWidth="1" min="9" max="9" width="3.88"/>
    <col customWidth="1" min="10" max="10" width="4.5"/>
    <col customWidth="1" min="13" max="13" width="3.63"/>
    <col customWidth="1" min="14" max="14" width="3.75"/>
    <col customWidth="1" min="16" max="16" width="15.25"/>
    <col customWidth="1" min="17" max="17" width="3.63"/>
    <col customWidth="1" min="18" max="18" width="3.75"/>
    <col customWidth="1" min="20" max="20" width="15.25"/>
    <col customWidth="1" min="21" max="21" width="3.75"/>
    <col customWidth="1" min="23" max="23" width="15.25"/>
    <col customWidth="1" min="24" max="25" width="3.75"/>
  </cols>
  <sheetData>
    <row r="1">
      <c r="L1" s="31"/>
    </row>
    <row r="2">
      <c r="B2" s="32" t="s">
        <v>52</v>
      </c>
      <c r="L2" s="31"/>
    </row>
    <row r="3">
      <c r="L3" s="31"/>
    </row>
    <row r="4">
      <c r="A4" s="34"/>
      <c r="B4" s="35" t="s">
        <v>54</v>
      </c>
      <c r="E4" s="34"/>
      <c r="F4" s="34"/>
      <c r="G4" s="37" t="s">
        <v>56</v>
      </c>
      <c r="I4" s="34"/>
      <c r="J4" s="34"/>
      <c r="K4" s="37" t="s">
        <v>58</v>
      </c>
      <c r="M4" s="34"/>
      <c r="N4" s="34"/>
      <c r="O4" s="37" t="s">
        <v>59</v>
      </c>
      <c r="Q4" s="34"/>
      <c r="R4" s="34"/>
      <c r="S4" s="37" t="s">
        <v>61</v>
      </c>
      <c r="U4" s="34"/>
      <c r="V4" s="37" t="s">
        <v>62</v>
      </c>
      <c r="X4" s="34"/>
      <c r="Y4" s="34"/>
    </row>
    <row r="5">
      <c r="L5" s="31"/>
    </row>
    <row r="6">
      <c r="G6" s="32" t="s">
        <v>63</v>
      </c>
      <c r="H6" s="32">
        <v>1.0</v>
      </c>
      <c r="K6" s="32" t="s">
        <v>63</v>
      </c>
      <c r="L6" s="40">
        <v>2.0</v>
      </c>
      <c r="O6" s="32" t="s">
        <v>63</v>
      </c>
      <c r="P6" s="32">
        <v>500.0</v>
      </c>
      <c r="S6" s="32" t="s">
        <v>63</v>
      </c>
      <c r="T6" s="32">
        <v>10000.0</v>
      </c>
      <c r="V6" s="32" t="s">
        <v>63</v>
      </c>
      <c r="W6" s="32">
        <v>1000000.0</v>
      </c>
    </row>
    <row r="7">
      <c r="G7" s="32" t="s">
        <v>64</v>
      </c>
      <c r="H7" s="32">
        <v>1.2</v>
      </c>
      <c r="K7" s="32" t="s">
        <v>64</v>
      </c>
      <c r="L7" s="40">
        <v>1.8</v>
      </c>
      <c r="O7" s="32" t="s">
        <v>64</v>
      </c>
      <c r="P7" s="32">
        <v>1.9</v>
      </c>
      <c r="S7" s="32" t="s">
        <v>64</v>
      </c>
      <c r="T7" s="32">
        <v>2.0</v>
      </c>
      <c r="V7" s="32" t="s">
        <v>64</v>
      </c>
      <c r="W7" s="32">
        <v>2.1</v>
      </c>
    </row>
    <row r="8">
      <c r="B8" s="32" t="s">
        <v>65</v>
      </c>
      <c r="C8" s="32" t="s">
        <v>66</v>
      </c>
      <c r="D8" s="32" t="s">
        <v>67</v>
      </c>
      <c r="G8" s="32" t="s">
        <v>65</v>
      </c>
      <c r="H8" s="32" t="s">
        <v>66</v>
      </c>
      <c r="K8" s="32" t="s">
        <v>65</v>
      </c>
      <c r="L8" s="40" t="s">
        <v>66</v>
      </c>
      <c r="O8" s="32" t="s">
        <v>65</v>
      </c>
      <c r="P8" s="32" t="s">
        <v>66</v>
      </c>
      <c r="S8" s="32" t="s">
        <v>65</v>
      </c>
      <c r="T8" s="32" t="s">
        <v>66</v>
      </c>
      <c r="V8" s="32" t="s">
        <v>65</v>
      </c>
      <c r="W8" s="32" t="s">
        <v>66</v>
      </c>
    </row>
    <row r="9">
      <c r="B9" s="41">
        <v>0.0</v>
      </c>
      <c r="C9" s="41">
        <v>1.0</v>
      </c>
      <c r="D9" s="32" t="s">
        <v>68</v>
      </c>
      <c r="G9" s="32">
        <v>0.0</v>
      </c>
      <c r="H9" s="42">
        <f t="shared" ref="H9:H395" si="1">$H$6*($H$7^G9)*MAX(1, 1.05^(G9-14))*MAX(1, 1.1^(G9-29))*MAX(1, 1.2^(G9-39))</f>
        <v>1</v>
      </c>
      <c r="K9" s="32">
        <v>0.0</v>
      </c>
      <c r="L9" s="42">
        <f t="shared" ref="L9:L58" si="2">$L$6*($L$7^K9)*MAX(1.1^(K9-14), 1)*MAX(1.2^(K9-29), 1)*MAX(1.3^(K9-39), 1)</f>
        <v>2</v>
      </c>
      <c r="O9" s="32">
        <v>0.0</v>
      </c>
      <c r="P9" s="42">
        <f t="shared" ref="P9:P58" si="3">$P$6*($P$7^O9)*MAX(1.1^(O9-14), 1)*MAX(1.2^(O9-29), 1)*MAX(1.3^(O9-39), 1)</f>
        <v>500</v>
      </c>
      <c r="S9" s="32">
        <v>0.0</v>
      </c>
      <c r="T9" s="42">
        <f t="shared" ref="T9:T58" si="4">$T$6*($T$7^S9)*MAX(1.1^(S9-14), 1)</f>
        <v>10000</v>
      </c>
      <c r="V9" s="32">
        <v>0.0</v>
      </c>
      <c r="W9" s="42">
        <f t="shared" ref="W9:W58" si="5">$W$6*($W$7^V9)</f>
        <v>1000000</v>
      </c>
    </row>
    <row r="10">
      <c r="B10" s="41">
        <v>1.0</v>
      </c>
      <c r="C10" s="41">
        <v>5.0</v>
      </c>
      <c r="D10" s="32" t="s">
        <v>80</v>
      </c>
      <c r="G10" s="32">
        <v>1.0</v>
      </c>
      <c r="H10" s="42">
        <f t="shared" si="1"/>
        <v>1.2</v>
      </c>
      <c r="K10" s="32">
        <v>1.0</v>
      </c>
      <c r="L10" s="42">
        <f t="shared" si="2"/>
        <v>3.6</v>
      </c>
      <c r="O10" s="32">
        <v>1.0</v>
      </c>
      <c r="P10" s="42">
        <f t="shared" si="3"/>
        <v>950</v>
      </c>
      <c r="S10" s="32">
        <v>1.0</v>
      </c>
      <c r="T10" s="42">
        <f t="shared" si="4"/>
        <v>20000</v>
      </c>
      <c r="V10" s="32">
        <v>1.0</v>
      </c>
      <c r="W10" s="42">
        <f t="shared" si="5"/>
        <v>2100000</v>
      </c>
    </row>
    <row r="11">
      <c r="B11" s="41">
        <v>2.0</v>
      </c>
      <c r="C11" s="41">
        <v>5000.0</v>
      </c>
      <c r="D11" s="32" t="s">
        <v>83</v>
      </c>
      <c r="G11" s="32">
        <v>2.0</v>
      </c>
      <c r="H11" s="42">
        <f t="shared" si="1"/>
        <v>1.44</v>
      </c>
      <c r="K11" s="32">
        <v>2.0</v>
      </c>
      <c r="L11" s="42">
        <f t="shared" si="2"/>
        <v>6.48</v>
      </c>
      <c r="O11" s="32">
        <v>2.0</v>
      </c>
      <c r="P11" s="42">
        <f t="shared" si="3"/>
        <v>1805</v>
      </c>
      <c r="S11" s="32">
        <v>2.0</v>
      </c>
      <c r="T11" s="42">
        <f t="shared" si="4"/>
        <v>40000</v>
      </c>
      <c r="V11" s="32">
        <v>2.0</v>
      </c>
      <c r="W11" s="42">
        <f t="shared" si="5"/>
        <v>4410000</v>
      </c>
    </row>
    <row r="12">
      <c r="B12" s="41">
        <v>3.0</v>
      </c>
      <c r="C12" s="41">
        <v>200000.0</v>
      </c>
      <c r="D12" s="32" t="s">
        <v>84</v>
      </c>
      <c r="G12" s="32">
        <v>3.0</v>
      </c>
      <c r="H12" s="42">
        <f t="shared" si="1"/>
        <v>1.728</v>
      </c>
      <c r="K12" s="32">
        <v>3.0</v>
      </c>
      <c r="L12" s="42">
        <f t="shared" si="2"/>
        <v>11.664</v>
      </c>
      <c r="O12" s="32">
        <v>3.0</v>
      </c>
      <c r="P12" s="42">
        <f t="shared" si="3"/>
        <v>3429.5</v>
      </c>
      <c r="S12" s="32">
        <v>3.0</v>
      </c>
      <c r="T12" s="42">
        <f t="shared" si="4"/>
        <v>80000</v>
      </c>
      <c r="V12" s="32">
        <v>3.0</v>
      </c>
      <c r="W12" s="42">
        <f t="shared" si="5"/>
        <v>9261000</v>
      </c>
    </row>
    <row r="13">
      <c r="B13" s="48"/>
      <c r="C13" s="48"/>
      <c r="G13" s="32">
        <v>4.0</v>
      </c>
      <c r="H13" s="42">
        <f t="shared" si="1"/>
        <v>2.0736</v>
      </c>
      <c r="K13" s="32">
        <v>4.0</v>
      </c>
      <c r="L13" s="42">
        <f t="shared" si="2"/>
        <v>20.9952</v>
      </c>
      <c r="O13" s="32">
        <v>4.0</v>
      </c>
      <c r="P13" s="42">
        <f t="shared" si="3"/>
        <v>6516.05</v>
      </c>
      <c r="S13" s="32">
        <v>4.0</v>
      </c>
      <c r="T13" s="42">
        <f t="shared" si="4"/>
        <v>160000</v>
      </c>
      <c r="V13" s="32">
        <v>4.0</v>
      </c>
      <c r="W13" s="42">
        <f t="shared" si="5"/>
        <v>19448100</v>
      </c>
    </row>
    <row r="14">
      <c r="G14" s="32">
        <v>5.0</v>
      </c>
      <c r="H14" s="42">
        <f t="shared" si="1"/>
        <v>2.48832</v>
      </c>
      <c r="K14" s="32">
        <v>5.0</v>
      </c>
      <c r="L14" s="42">
        <f t="shared" si="2"/>
        <v>37.79136</v>
      </c>
      <c r="O14" s="32">
        <v>5.0</v>
      </c>
      <c r="P14" s="42">
        <f t="shared" si="3"/>
        <v>12380.495</v>
      </c>
      <c r="S14" s="32">
        <v>5.0</v>
      </c>
      <c r="T14" s="42">
        <f t="shared" si="4"/>
        <v>320000</v>
      </c>
      <c r="V14" s="32">
        <v>5.0</v>
      </c>
      <c r="W14" s="42">
        <f t="shared" si="5"/>
        <v>40841010</v>
      </c>
    </row>
    <row r="15">
      <c r="G15" s="32">
        <v>6.0</v>
      </c>
      <c r="H15" s="42">
        <f t="shared" si="1"/>
        <v>2.985984</v>
      </c>
      <c r="K15" s="32">
        <v>6.0</v>
      </c>
      <c r="L15" s="42">
        <f t="shared" si="2"/>
        <v>68.024448</v>
      </c>
      <c r="O15" s="32">
        <v>6.0</v>
      </c>
      <c r="P15" s="42">
        <f t="shared" si="3"/>
        <v>23522.9405</v>
      </c>
      <c r="S15" s="32">
        <v>6.0</v>
      </c>
      <c r="T15" s="42">
        <f t="shared" si="4"/>
        <v>640000</v>
      </c>
      <c r="V15" s="32">
        <v>6.0</v>
      </c>
      <c r="W15" s="42">
        <f t="shared" si="5"/>
        <v>85766121</v>
      </c>
    </row>
    <row r="16">
      <c r="G16" s="32">
        <v>7.0</v>
      </c>
      <c r="H16" s="42">
        <f t="shared" si="1"/>
        <v>3.5831808</v>
      </c>
      <c r="K16" s="32">
        <v>7.0</v>
      </c>
      <c r="L16" s="42">
        <f t="shared" si="2"/>
        <v>122.4440064</v>
      </c>
      <c r="O16" s="32">
        <v>7.0</v>
      </c>
      <c r="P16" s="42">
        <f t="shared" si="3"/>
        <v>44693.58695</v>
      </c>
      <c r="S16" s="32">
        <v>7.0</v>
      </c>
      <c r="T16" s="42">
        <f t="shared" si="4"/>
        <v>1280000</v>
      </c>
      <c r="V16" s="32">
        <v>7.0</v>
      </c>
      <c r="W16" s="42">
        <f t="shared" si="5"/>
        <v>180108854.1</v>
      </c>
    </row>
    <row r="17">
      <c r="G17" s="32">
        <v>8.0</v>
      </c>
      <c r="H17" s="42">
        <f t="shared" si="1"/>
        <v>4.29981696</v>
      </c>
      <c r="K17" s="32">
        <v>8.0</v>
      </c>
      <c r="L17" s="42">
        <f t="shared" si="2"/>
        <v>220.3992115</v>
      </c>
      <c r="O17" s="32">
        <v>8.0</v>
      </c>
      <c r="P17" s="42">
        <f t="shared" si="3"/>
        <v>84917.81521</v>
      </c>
      <c r="S17" s="32">
        <v>8.0</v>
      </c>
      <c r="T17" s="42">
        <f t="shared" si="4"/>
        <v>2560000</v>
      </c>
      <c r="V17" s="32">
        <v>8.0</v>
      </c>
      <c r="W17" s="42">
        <f t="shared" si="5"/>
        <v>378228593.6</v>
      </c>
    </row>
    <row r="18">
      <c r="G18" s="32">
        <v>9.0</v>
      </c>
      <c r="H18" s="42">
        <f t="shared" si="1"/>
        <v>5.159780352</v>
      </c>
      <c r="K18" s="32">
        <v>9.0</v>
      </c>
      <c r="L18" s="42">
        <f t="shared" si="2"/>
        <v>396.7185807</v>
      </c>
      <c r="O18" s="32">
        <v>9.0</v>
      </c>
      <c r="P18" s="42">
        <f t="shared" si="3"/>
        <v>161343.8489</v>
      </c>
      <c r="S18" s="32">
        <v>9.0</v>
      </c>
      <c r="T18" s="42">
        <f t="shared" si="4"/>
        <v>5120000</v>
      </c>
      <c r="V18" s="32">
        <v>9.0</v>
      </c>
      <c r="W18" s="42">
        <f t="shared" si="5"/>
        <v>794280046.6</v>
      </c>
    </row>
    <row r="19">
      <c r="G19" s="32">
        <v>10.0</v>
      </c>
      <c r="H19" s="42">
        <f t="shared" si="1"/>
        <v>6.191736422</v>
      </c>
      <c r="K19" s="32">
        <v>10.0</v>
      </c>
      <c r="L19" s="42">
        <f t="shared" si="2"/>
        <v>714.0934453</v>
      </c>
      <c r="O19" s="32">
        <v>10.0</v>
      </c>
      <c r="P19" s="42">
        <f t="shared" si="3"/>
        <v>306553.3129</v>
      </c>
      <c r="S19" s="32">
        <v>10.0</v>
      </c>
      <c r="T19" s="42">
        <f t="shared" si="4"/>
        <v>10240000</v>
      </c>
      <c r="V19" s="51">
        <v>10.0</v>
      </c>
      <c r="W19" s="52">
        <f t="shared" si="5"/>
        <v>1667988098</v>
      </c>
    </row>
    <row r="20">
      <c r="G20" s="32">
        <v>11.0</v>
      </c>
      <c r="H20" s="42">
        <f t="shared" si="1"/>
        <v>7.430083707</v>
      </c>
      <c r="K20" s="32">
        <v>11.0</v>
      </c>
      <c r="L20" s="42">
        <f t="shared" si="2"/>
        <v>1285.368202</v>
      </c>
      <c r="O20" s="32">
        <v>11.0</v>
      </c>
      <c r="P20" s="42">
        <f t="shared" si="3"/>
        <v>582451.2945</v>
      </c>
      <c r="S20" s="32">
        <v>11.0</v>
      </c>
      <c r="T20" s="42">
        <f t="shared" si="4"/>
        <v>20480000</v>
      </c>
      <c r="V20" s="51">
        <v>11.0</v>
      </c>
      <c r="W20" s="52">
        <f t="shared" si="5"/>
        <v>3502775005</v>
      </c>
    </row>
    <row r="21">
      <c r="G21" s="32">
        <v>12.0</v>
      </c>
      <c r="H21" s="42">
        <f t="shared" si="1"/>
        <v>8.916100448</v>
      </c>
      <c r="K21" s="32">
        <v>12.0</v>
      </c>
      <c r="L21" s="42">
        <f t="shared" si="2"/>
        <v>2313.662763</v>
      </c>
      <c r="O21" s="32">
        <v>12.0</v>
      </c>
      <c r="P21" s="42">
        <f t="shared" si="3"/>
        <v>1106657.46</v>
      </c>
      <c r="S21" s="32">
        <v>12.0</v>
      </c>
      <c r="T21" s="42">
        <f t="shared" si="4"/>
        <v>40960000</v>
      </c>
      <c r="V21" s="51">
        <v>12.0</v>
      </c>
      <c r="W21" s="52">
        <f t="shared" si="5"/>
        <v>7355827511</v>
      </c>
    </row>
    <row r="22">
      <c r="G22" s="32">
        <v>13.0</v>
      </c>
      <c r="H22" s="42">
        <f t="shared" si="1"/>
        <v>10.69932054</v>
      </c>
      <c r="K22" s="32">
        <v>13.0</v>
      </c>
      <c r="L22" s="42">
        <f t="shared" si="2"/>
        <v>4164.592973</v>
      </c>
      <c r="O22" s="32">
        <v>13.0</v>
      </c>
      <c r="P22" s="42">
        <f t="shared" si="3"/>
        <v>2102649.173</v>
      </c>
      <c r="S22" s="32">
        <v>13.0</v>
      </c>
      <c r="T22" s="42">
        <f t="shared" si="4"/>
        <v>81920000</v>
      </c>
      <c r="V22" s="51">
        <v>13.0</v>
      </c>
      <c r="W22" s="52">
        <f t="shared" si="5"/>
        <v>15447237774</v>
      </c>
    </row>
    <row r="23">
      <c r="G23" s="32">
        <v>14.0</v>
      </c>
      <c r="H23" s="42">
        <f t="shared" si="1"/>
        <v>12.83918465</v>
      </c>
      <c r="K23" s="32">
        <v>14.0</v>
      </c>
      <c r="L23" s="42">
        <f t="shared" si="2"/>
        <v>7496.267352</v>
      </c>
      <c r="O23" s="32">
        <v>14.0</v>
      </c>
      <c r="P23" s="42">
        <f t="shared" si="3"/>
        <v>3995033.429</v>
      </c>
      <c r="S23" s="32">
        <v>14.0</v>
      </c>
      <c r="T23" s="42">
        <f t="shared" si="4"/>
        <v>163840000</v>
      </c>
      <c r="V23" s="51">
        <v>14.0</v>
      </c>
      <c r="W23" s="52">
        <f t="shared" si="5"/>
        <v>32439199325</v>
      </c>
    </row>
    <row r="24">
      <c r="G24" s="32">
        <v>15.0</v>
      </c>
      <c r="H24" s="42">
        <f t="shared" si="1"/>
        <v>16.17737265</v>
      </c>
      <c r="K24" s="32">
        <v>15.0</v>
      </c>
      <c r="L24" s="42">
        <f t="shared" si="2"/>
        <v>14842.60936</v>
      </c>
      <c r="O24" s="32">
        <v>15.0</v>
      </c>
      <c r="P24" s="42">
        <f t="shared" si="3"/>
        <v>8349619.866</v>
      </c>
      <c r="S24" s="32">
        <v>15.0</v>
      </c>
      <c r="T24" s="42">
        <f t="shared" si="4"/>
        <v>360448000</v>
      </c>
      <c r="V24" s="51">
        <v>15.0</v>
      </c>
      <c r="W24" s="52">
        <f t="shared" si="5"/>
        <v>68122318583</v>
      </c>
    </row>
    <row r="25">
      <c r="G25" s="32">
        <v>16.0</v>
      </c>
      <c r="H25" s="42">
        <f t="shared" si="1"/>
        <v>20.38348954</v>
      </c>
      <c r="K25" s="32">
        <v>16.0</v>
      </c>
      <c r="L25" s="42">
        <f t="shared" si="2"/>
        <v>29388.36653</v>
      </c>
      <c r="O25" s="32">
        <v>16.0</v>
      </c>
      <c r="P25" s="42">
        <f t="shared" si="3"/>
        <v>17450705.52</v>
      </c>
      <c r="S25" s="32">
        <v>16.0</v>
      </c>
      <c r="T25" s="42">
        <f t="shared" si="4"/>
        <v>792985600</v>
      </c>
      <c r="V25" s="51">
        <v>16.0</v>
      </c>
      <c r="W25" s="52">
        <f t="shared" si="5"/>
        <v>143056869024</v>
      </c>
    </row>
    <row r="26">
      <c r="G26" s="32">
        <v>17.0</v>
      </c>
      <c r="H26" s="42">
        <f t="shared" si="1"/>
        <v>25.68319682</v>
      </c>
      <c r="K26" s="32">
        <v>17.0</v>
      </c>
      <c r="L26" s="42">
        <f t="shared" si="2"/>
        <v>58188.96572</v>
      </c>
      <c r="O26" s="32">
        <v>17.0</v>
      </c>
      <c r="P26" s="42">
        <f t="shared" si="3"/>
        <v>36471974.54</v>
      </c>
      <c r="S26" s="51">
        <v>17.0</v>
      </c>
      <c r="T26" s="52">
        <f t="shared" si="4"/>
        <v>1744568320</v>
      </c>
      <c r="V26" s="51">
        <v>17.0</v>
      </c>
      <c r="W26" s="52">
        <f t="shared" si="5"/>
        <v>300419424951</v>
      </c>
    </row>
    <row r="27">
      <c r="G27" s="32">
        <v>18.0</v>
      </c>
      <c r="H27" s="42">
        <f t="shared" si="1"/>
        <v>32.360828</v>
      </c>
      <c r="K27" s="32">
        <v>18.0</v>
      </c>
      <c r="L27" s="42">
        <f t="shared" si="2"/>
        <v>115214.1521</v>
      </c>
      <c r="O27" s="32">
        <v>18.0</v>
      </c>
      <c r="P27" s="42">
        <f t="shared" si="3"/>
        <v>76226426.79</v>
      </c>
      <c r="S27" s="51">
        <v>18.0</v>
      </c>
      <c r="T27" s="52">
        <f t="shared" si="4"/>
        <v>3838050304</v>
      </c>
      <c r="V27" s="51">
        <v>18.0</v>
      </c>
      <c r="W27" s="52">
        <f t="shared" si="5"/>
        <v>630880792397</v>
      </c>
    </row>
    <row r="28">
      <c r="G28" s="32">
        <v>19.0</v>
      </c>
      <c r="H28" s="42">
        <f t="shared" si="1"/>
        <v>40.77464328</v>
      </c>
      <c r="K28" s="32">
        <v>19.0</v>
      </c>
      <c r="L28" s="42">
        <f t="shared" si="2"/>
        <v>228124.0212</v>
      </c>
      <c r="O28" s="32">
        <v>19.0</v>
      </c>
      <c r="P28" s="42">
        <f t="shared" si="3"/>
        <v>159313232</v>
      </c>
      <c r="S28" s="51">
        <v>19.0</v>
      </c>
      <c r="T28" s="52">
        <f t="shared" si="4"/>
        <v>8443710669</v>
      </c>
      <c r="V28" s="51">
        <v>19.0</v>
      </c>
      <c r="W28" s="52">
        <f t="shared" si="5"/>
        <v>1324849664033</v>
      </c>
    </row>
    <row r="29">
      <c r="G29" s="32">
        <v>20.0</v>
      </c>
      <c r="H29" s="42">
        <f t="shared" si="1"/>
        <v>51.37605053</v>
      </c>
      <c r="K29" s="32">
        <v>20.0</v>
      </c>
      <c r="L29" s="42">
        <f t="shared" si="2"/>
        <v>451685.562</v>
      </c>
      <c r="O29" s="32">
        <v>20.0</v>
      </c>
      <c r="P29" s="42">
        <f t="shared" si="3"/>
        <v>332964654.8</v>
      </c>
      <c r="S29" s="51">
        <v>20.0</v>
      </c>
      <c r="T29" s="52">
        <f t="shared" si="4"/>
        <v>18576163471</v>
      </c>
      <c r="V29" s="51">
        <v>20.0</v>
      </c>
      <c r="W29" s="52">
        <f t="shared" si="5"/>
        <v>2782184294470</v>
      </c>
    </row>
    <row r="30">
      <c r="G30" s="32">
        <v>21.0</v>
      </c>
      <c r="H30" s="42">
        <f t="shared" si="1"/>
        <v>64.73382367</v>
      </c>
      <c r="K30" s="32">
        <v>21.0</v>
      </c>
      <c r="L30" s="42">
        <f t="shared" si="2"/>
        <v>894337.4128</v>
      </c>
      <c r="O30" s="32">
        <v>21.0</v>
      </c>
      <c r="P30" s="42">
        <f t="shared" si="3"/>
        <v>695896128.6</v>
      </c>
      <c r="S30" s="51">
        <v>21.0</v>
      </c>
      <c r="T30" s="52">
        <f t="shared" si="4"/>
        <v>40867559637</v>
      </c>
      <c r="V30" s="51">
        <v>21.0</v>
      </c>
      <c r="W30" s="52">
        <f t="shared" si="5"/>
        <v>5842587018386</v>
      </c>
    </row>
    <row r="31">
      <c r="G31" s="32">
        <v>22.0</v>
      </c>
      <c r="H31" s="42">
        <f t="shared" si="1"/>
        <v>81.56461782</v>
      </c>
      <c r="K31" s="32">
        <v>22.0</v>
      </c>
      <c r="L31" s="42">
        <f t="shared" si="2"/>
        <v>1770788.077</v>
      </c>
      <c r="O31" s="51">
        <v>22.0</v>
      </c>
      <c r="P31" s="52">
        <f t="shared" si="3"/>
        <v>1454422909</v>
      </c>
      <c r="S31" s="51">
        <v>22.0</v>
      </c>
      <c r="T31" s="52">
        <f t="shared" si="4"/>
        <v>89908631201</v>
      </c>
      <c r="V31" s="51">
        <v>22.0</v>
      </c>
      <c r="W31" s="52">
        <f t="shared" si="5"/>
        <v>12269432738611</v>
      </c>
    </row>
    <row r="32">
      <c r="G32" s="32">
        <v>23.0</v>
      </c>
      <c r="H32" s="42">
        <f t="shared" si="1"/>
        <v>102.7714185</v>
      </c>
      <c r="K32" s="32">
        <v>23.0</v>
      </c>
      <c r="L32" s="42">
        <f t="shared" si="2"/>
        <v>3506160.393</v>
      </c>
      <c r="O32" s="51">
        <v>23.0</v>
      </c>
      <c r="P32" s="52">
        <f t="shared" si="3"/>
        <v>3039743879</v>
      </c>
      <c r="S32" s="51">
        <v>23.0</v>
      </c>
      <c r="T32" s="52">
        <f t="shared" si="4"/>
        <v>197798988643</v>
      </c>
      <c r="V32" s="51">
        <v>23.0</v>
      </c>
      <c r="W32" s="52">
        <f t="shared" si="5"/>
        <v>25765808751082</v>
      </c>
    </row>
    <row r="33">
      <c r="G33" s="32">
        <v>24.0</v>
      </c>
      <c r="H33" s="42">
        <f t="shared" si="1"/>
        <v>129.4919873</v>
      </c>
      <c r="K33" s="32">
        <v>24.0</v>
      </c>
      <c r="L33" s="42">
        <f t="shared" si="2"/>
        <v>6942197.578</v>
      </c>
      <c r="O33" s="51">
        <v>24.0</v>
      </c>
      <c r="P33" s="52">
        <f t="shared" si="3"/>
        <v>6353064708</v>
      </c>
      <c r="S33" s="51">
        <v>24.0</v>
      </c>
      <c r="T33" s="52">
        <f t="shared" si="4"/>
        <v>435157775015</v>
      </c>
      <c r="V33" s="51">
        <v>24.0</v>
      </c>
      <c r="W33" s="52">
        <f t="shared" si="5"/>
        <v>54108198377273</v>
      </c>
    </row>
    <row r="34">
      <c r="G34" s="32">
        <v>25.0</v>
      </c>
      <c r="H34" s="42">
        <f t="shared" si="1"/>
        <v>163.1599039</v>
      </c>
      <c r="K34" s="32">
        <v>25.0</v>
      </c>
      <c r="L34" s="42">
        <f t="shared" si="2"/>
        <v>13745551.2</v>
      </c>
      <c r="O34" s="51">
        <v>25.0</v>
      </c>
      <c r="P34" s="52">
        <f t="shared" si="3"/>
        <v>13277905240</v>
      </c>
      <c r="S34" s="51">
        <v>25.0</v>
      </c>
      <c r="T34" s="52">
        <f t="shared" si="4"/>
        <v>957347105032</v>
      </c>
      <c r="V34" s="51">
        <v>25.0</v>
      </c>
      <c r="W34" s="52">
        <f t="shared" si="5"/>
        <v>113627216592273</v>
      </c>
    </row>
    <row r="35">
      <c r="G35" s="32">
        <v>26.0</v>
      </c>
      <c r="H35" s="42">
        <f t="shared" si="1"/>
        <v>205.581479</v>
      </c>
      <c r="K35" s="32">
        <v>26.0</v>
      </c>
      <c r="L35" s="42">
        <f t="shared" si="2"/>
        <v>27216191.38</v>
      </c>
      <c r="O35" s="51">
        <v>26.0</v>
      </c>
      <c r="P35" s="52">
        <f t="shared" si="3"/>
        <v>27750821951</v>
      </c>
      <c r="S35" s="51">
        <v>26.0</v>
      </c>
      <c r="T35" s="52">
        <f t="shared" si="4"/>
        <v>2106163631071</v>
      </c>
      <c r="V35" s="51">
        <v>26.0</v>
      </c>
      <c r="W35" s="52">
        <f t="shared" si="5"/>
        <v>238617154843772</v>
      </c>
    </row>
    <row r="36">
      <c r="G36" s="32">
        <v>27.0</v>
      </c>
      <c r="H36" s="42">
        <f t="shared" si="1"/>
        <v>259.0326635</v>
      </c>
      <c r="K36" s="32">
        <v>27.0</v>
      </c>
      <c r="L36" s="42">
        <f t="shared" si="2"/>
        <v>53888058.94</v>
      </c>
      <c r="O36" s="51">
        <v>27.0</v>
      </c>
      <c r="P36" s="52">
        <f t="shared" si="3"/>
        <v>57999217878</v>
      </c>
      <c r="S36" s="51">
        <v>27.0</v>
      </c>
      <c r="T36" s="52">
        <f t="shared" si="4"/>
        <v>4633559988356</v>
      </c>
      <c r="V36" s="51">
        <v>27.0</v>
      </c>
      <c r="W36" s="52">
        <f t="shared" si="5"/>
        <v>501096025171922</v>
      </c>
    </row>
    <row r="37">
      <c r="G37" s="32">
        <v>28.0</v>
      </c>
      <c r="H37" s="42">
        <f t="shared" si="1"/>
        <v>326.381156</v>
      </c>
      <c r="K37" s="32">
        <v>28.0</v>
      </c>
      <c r="L37" s="42">
        <f t="shared" si="2"/>
        <v>106698356.7</v>
      </c>
      <c r="O37" s="51">
        <v>28.0</v>
      </c>
      <c r="P37" s="52">
        <f t="shared" si="3"/>
        <v>121218365364</v>
      </c>
      <c r="S37" s="51">
        <v>28.0</v>
      </c>
      <c r="T37" s="52">
        <f t="shared" si="4"/>
        <v>10193831974384</v>
      </c>
      <c r="V37" s="51">
        <v>28.0</v>
      </c>
      <c r="W37" s="52">
        <f t="shared" si="5"/>
        <v>1.0523E+15</v>
      </c>
    </row>
    <row r="38">
      <c r="G38" s="32">
        <v>29.0</v>
      </c>
      <c r="H38" s="42">
        <f t="shared" si="1"/>
        <v>411.2402566</v>
      </c>
      <c r="K38" s="32">
        <v>29.0</v>
      </c>
      <c r="L38" s="42">
        <f t="shared" si="2"/>
        <v>211262746.3</v>
      </c>
      <c r="O38" s="51">
        <v>29.0</v>
      </c>
      <c r="P38" s="52">
        <f t="shared" si="3"/>
        <v>253346383611</v>
      </c>
      <c r="S38" s="51">
        <v>29.0</v>
      </c>
      <c r="T38" s="52">
        <f t="shared" si="4"/>
        <v>22426430343645</v>
      </c>
      <c r="V38" s="51">
        <v>29.0</v>
      </c>
      <c r="W38" s="52">
        <f t="shared" si="5"/>
        <v>2.20983E+15</v>
      </c>
    </row>
    <row r="39">
      <c r="G39" s="32">
        <v>30.0</v>
      </c>
      <c r="H39" s="42">
        <f t="shared" si="1"/>
        <v>569.9789956</v>
      </c>
      <c r="K39" s="32">
        <v>30.0</v>
      </c>
      <c r="L39" s="42">
        <f t="shared" si="2"/>
        <v>501960285.2</v>
      </c>
      <c r="O39" s="51">
        <v>30.0</v>
      </c>
      <c r="P39" s="52">
        <f t="shared" si="3"/>
        <v>635392730097</v>
      </c>
      <c r="S39" s="51">
        <v>30.0</v>
      </c>
      <c r="T39" s="52">
        <f t="shared" si="4"/>
        <v>49338146756019</v>
      </c>
      <c r="V39" s="51">
        <v>30.0</v>
      </c>
      <c r="W39" s="52">
        <f t="shared" si="5"/>
        <v>4.64065E+15</v>
      </c>
    </row>
    <row r="40">
      <c r="G40" s="32">
        <v>31.0</v>
      </c>
      <c r="H40" s="42">
        <f t="shared" si="1"/>
        <v>789.9908879</v>
      </c>
      <c r="K40" s="51">
        <v>31.0</v>
      </c>
      <c r="L40" s="52">
        <f t="shared" si="2"/>
        <v>1192657638</v>
      </c>
      <c r="O40" s="51">
        <v>31.0</v>
      </c>
      <c r="P40" s="52">
        <f t="shared" si="3"/>
        <v>1593564967083</v>
      </c>
      <c r="S40" s="51">
        <v>31.0</v>
      </c>
      <c r="T40" s="52">
        <f t="shared" si="4"/>
        <v>108543922863243</v>
      </c>
      <c r="V40" s="51">
        <v>31.0</v>
      </c>
      <c r="W40" s="52">
        <f t="shared" si="5"/>
        <v>9.74537E+15</v>
      </c>
    </row>
    <row r="41">
      <c r="G41" s="32">
        <v>32.0</v>
      </c>
      <c r="H41" s="42">
        <f t="shared" si="1"/>
        <v>1094.927371</v>
      </c>
      <c r="K41" s="51">
        <v>32.0</v>
      </c>
      <c r="L41" s="52">
        <f t="shared" si="2"/>
        <v>2833754547</v>
      </c>
      <c r="O41" s="51">
        <v>32.0</v>
      </c>
      <c r="P41" s="52">
        <f t="shared" si="3"/>
        <v>3996660937444</v>
      </c>
      <c r="S41" s="51">
        <v>32.0</v>
      </c>
      <c r="T41" s="52">
        <f t="shared" si="4"/>
        <v>238796630299134</v>
      </c>
      <c r="V41" s="51">
        <v>32.0</v>
      </c>
      <c r="W41" s="52">
        <f t="shared" si="5"/>
        <v>2.04653E+16</v>
      </c>
    </row>
    <row r="42">
      <c r="G42" s="32">
        <v>33.0</v>
      </c>
      <c r="H42" s="42">
        <f t="shared" si="1"/>
        <v>1517.569336</v>
      </c>
      <c r="K42" s="51">
        <v>33.0</v>
      </c>
      <c r="L42" s="52">
        <f t="shared" si="2"/>
        <v>6733000803</v>
      </c>
      <c r="O42" s="51">
        <v>33.0</v>
      </c>
      <c r="P42" s="52">
        <f t="shared" si="3"/>
        <v>10023625631109</v>
      </c>
      <c r="S42" s="51">
        <v>33.0</v>
      </c>
      <c r="T42" s="52">
        <f t="shared" si="4"/>
        <v>525352586658094</v>
      </c>
      <c r="V42" s="51">
        <v>33.0</v>
      </c>
      <c r="W42" s="52">
        <f t="shared" si="5"/>
        <v>4.29771E+16</v>
      </c>
    </row>
    <row r="43">
      <c r="G43" s="32">
        <v>34.0</v>
      </c>
      <c r="H43" s="42">
        <f t="shared" si="1"/>
        <v>2103.351099</v>
      </c>
      <c r="K43" s="51">
        <v>34.0</v>
      </c>
      <c r="L43" s="52">
        <f t="shared" si="2"/>
        <v>15997609908</v>
      </c>
      <c r="O43" s="51">
        <v>34.0</v>
      </c>
      <c r="P43" s="52">
        <f t="shared" si="3"/>
        <v>25139253082822</v>
      </c>
      <c r="S43" s="51">
        <v>34.0</v>
      </c>
      <c r="T43" s="52">
        <f t="shared" si="4"/>
        <v>1.15578E+15</v>
      </c>
      <c r="V43" s="51">
        <v>34.0</v>
      </c>
      <c r="W43" s="52">
        <f t="shared" si="5"/>
        <v>9.02518E+16</v>
      </c>
    </row>
    <row r="44">
      <c r="G44" s="32">
        <v>35.0</v>
      </c>
      <c r="H44" s="42">
        <f t="shared" si="1"/>
        <v>2915.244624</v>
      </c>
      <c r="K44" s="51">
        <v>35.0</v>
      </c>
      <c r="L44" s="52">
        <f t="shared" si="2"/>
        <v>38010321142</v>
      </c>
      <c r="O44" s="51">
        <v>35.0</v>
      </c>
      <c r="P44" s="52">
        <f t="shared" si="3"/>
        <v>63049246731717</v>
      </c>
      <c r="S44" s="51">
        <v>35.0</v>
      </c>
      <c r="T44" s="52">
        <f t="shared" si="4"/>
        <v>2.54271E+15</v>
      </c>
      <c r="V44" s="51">
        <v>35.0</v>
      </c>
      <c r="W44" s="52">
        <f t="shared" si="5"/>
        <v>1.89529E+17</v>
      </c>
    </row>
    <row r="45">
      <c r="G45" s="32">
        <v>36.0</v>
      </c>
      <c r="H45" s="42">
        <f t="shared" si="1"/>
        <v>4040.529048</v>
      </c>
      <c r="K45" s="51">
        <v>36.0</v>
      </c>
      <c r="L45" s="52">
        <f t="shared" si="2"/>
        <v>90312523033</v>
      </c>
      <c r="O45" s="51">
        <v>36.0</v>
      </c>
      <c r="P45" s="52">
        <f t="shared" si="3"/>
        <v>158127510803145</v>
      </c>
      <c r="S45" s="51">
        <v>36.0</v>
      </c>
      <c r="T45" s="52">
        <f t="shared" si="4"/>
        <v>5.59395E+15</v>
      </c>
      <c r="V45" s="51">
        <v>36.0</v>
      </c>
      <c r="W45" s="52">
        <f t="shared" si="5"/>
        <v>3.98011E+17</v>
      </c>
    </row>
    <row r="46">
      <c r="G46" s="32">
        <v>37.0</v>
      </c>
      <c r="H46" s="42">
        <f t="shared" si="1"/>
        <v>5600.173261</v>
      </c>
      <c r="K46" s="51">
        <v>37.0</v>
      </c>
      <c r="L46" s="52">
        <f t="shared" si="2"/>
        <v>214582554726</v>
      </c>
      <c r="O46" s="51">
        <v>37.0</v>
      </c>
      <c r="P46" s="52">
        <f t="shared" si="3"/>
        <v>396583797094287</v>
      </c>
      <c r="S46" s="51">
        <v>37.0</v>
      </c>
      <c r="T46" s="52">
        <f t="shared" si="4"/>
        <v>1.23067E+16</v>
      </c>
      <c r="V46" s="51">
        <v>37.0</v>
      </c>
      <c r="W46" s="52">
        <f t="shared" si="5"/>
        <v>8.35822E+17</v>
      </c>
    </row>
    <row r="47">
      <c r="G47" s="32">
        <v>38.0</v>
      </c>
      <c r="H47" s="42">
        <f t="shared" si="1"/>
        <v>7761.84014</v>
      </c>
      <c r="K47" s="51">
        <v>38.0</v>
      </c>
      <c r="L47" s="52">
        <f t="shared" si="2"/>
        <v>509848150030</v>
      </c>
      <c r="O47" s="51">
        <v>38.0</v>
      </c>
      <c r="P47" s="52">
        <f t="shared" si="3"/>
        <v>994632163112473</v>
      </c>
      <c r="S47" s="51">
        <v>38.0</v>
      </c>
      <c r="T47" s="52">
        <f t="shared" si="4"/>
        <v>2.70747E+16</v>
      </c>
      <c r="V47" s="51">
        <v>38.0</v>
      </c>
      <c r="W47" s="52">
        <f t="shared" si="5"/>
        <v>1.75523E+18</v>
      </c>
    </row>
    <row r="48">
      <c r="G48" s="32">
        <v>39.0</v>
      </c>
      <c r="H48" s="42">
        <f t="shared" si="1"/>
        <v>10757.91043</v>
      </c>
      <c r="K48" s="51">
        <v>39.0</v>
      </c>
      <c r="L48" s="52">
        <f t="shared" si="2"/>
        <v>1211399204470</v>
      </c>
      <c r="O48" s="51">
        <v>39.0</v>
      </c>
      <c r="P48" s="52">
        <f t="shared" si="3"/>
        <v>2.49454E+15</v>
      </c>
      <c r="S48" s="51">
        <v>39.0</v>
      </c>
      <c r="T48" s="52">
        <f t="shared" si="4"/>
        <v>5.95644E+16</v>
      </c>
      <c r="V48" s="51">
        <v>39.0</v>
      </c>
      <c r="W48" s="52">
        <f t="shared" si="5"/>
        <v>3.68598E+18</v>
      </c>
    </row>
    <row r="49">
      <c r="G49" s="32">
        <v>40.0</v>
      </c>
      <c r="H49" s="42">
        <f t="shared" si="1"/>
        <v>17892.55663</v>
      </c>
      <c r="K49" s="51">
        <v>40.0</v>
      </c>
      <c r="L49" s="52">
        <f t="shared" si="2"/>
        <v>3741769862768</v>
      </c>
      <c r="O49" s="51">
        <v>40.0</v>
      </c>
      <c r="P49" s="52">
        <f t="shared" si="3"/>
        <v>8.13319E+15</v>
      </c>
      <c r="S49" s="51">
        <v>40.0</v>
      </c>
      <c r="T49" s="52">
        <f t="shared" si="4"/>
        <v>1.31042E+17</v>
      </c>
      <c r="V49" s="51">
        <v>40.0</v>
      </c>
      <c r="W49" s="52">
        <f t="shared" si="5"/>
        <v>7.74055E+18</v>
      </c>
    </row>
    <row r="50">
      <c r="G50" s="32">
        <v>41.0</v>
      </c>
      <c r="H50" s="42">
        <f t="shared" si="1"/>
        <v>29758.90019</v>
      </c>
      <c r="K50" s="51">
        <v>41.0</v>
      </c>
      <c r="L50" s="52">
        <f t="shared" si="2"/>
        <v>11557578752117</v>
      </c>
      <c r="O50" s="51">
        <v>41.0</v>
      </c>
      <c r="P50" s="52">
        <f t="shared" si="3"/>
        <v>2.65175E+16</v>
      </c>
      <c r="S50" s="51">
        <v>41.0</v>
      </c>
      <c r="T50" s="52">
        <f t="shared" si="4"/>
        <v>2.88292E+17</v>
      </c>
      <c r="V50" s="51">
        <v>41.0</v>
      </c>
      <c r="W50" s="52">
        <f t="shared" si="5"/>
        <v>1.62552E+19</v>
      </c>
    </row>
    <row r="51">
      <c r="G51" s="32">
        <v>42.0</v>
      </c>
      <c r="H51" s="42">
        <f t="shared" si="1"/>
        <v>49495.0028</v>
      </c>
      <c r="K51" s="51">
        <v>42.0</v>
      </c>
      <c r="L51" s="52">
        <f t="shared" si="2"/>
        <v>35699049249539</v>
      </c>
      <c r="O51" s="51">
        <v>42.0</v>
      </c>
      <c r="P51" s="52">
        <f t="shared" si="3"/>
        <v>8.64575E+16</v>
      </c>
      <c r="S51" s="51">
        <v>42.0</v>
      </c>
      <c r="T51" s="52">
        <f t="shared" si="4"/>
        <v>6.34242E+17</v>
      </c>
      <c r="V51" s="51">
        <v>42.0</v>
      </c>
      <c r="W51" s="52">
        <f t="shared" si="5"/>
        <v>3.41358E+19</v>
      </c>
    </row>
    <row r="52">
      <c r="G52" s="32">
        <v>43.0</v>
      </c>
      <c r="H52" s="42">
        <f t="shared" si="1"/>
        <v>82320.08866</v>
      </c>
      <c r="K52" s="51">
        <v>43.0</v>
      </c>
      <c r="L52" s="52">
        <f t="shared" si="2"/>
        <v>110267223321975</v>
      </c>
      <c r="O52" s="51">
        <v>43.0</v>
      </c>
      <c r="P52" s="52">
        <f t="shared" si="3"/>
        <v>2.81886E+17</v>
      </c>
      <c r="S52" s="51">
        <v>43.0</v>
      </c>
      <c r="T52" s="52">
        <f t="shared" si="4"/>
        <v>1.39533E+18</v>
      </c>
      <c r="V52" s="51">
        <v>43.0</v>
      </c>
      <c r="W52" s="52">
        <f t="shared" si="5"/>
        <v>7.16852E+19</v>
      </c>
    </row>
    <row r="53">
      <c r="G53" s="32">
        <v>44.0</v>
      </c>
      <c r="H53" s="42">
        <f t="shared" si="1"/>
        <v>136914.7715</v>
      </c>
      <c r="K53" s="51">
        <v>44.0</v>
      </c>
      <c r="L53" s="52">
        <f t="shared" si="2"/>
        <v>340593399396916</v>
      </c>
      <c r="O53" s="51">
        <v>44.0</v>
      </c>
      <c r="P53" s="52">
        <f t="shared" si="3"/>
        <v>9.19061E+17</v>
      </c>
      <c r="S53" s="51">
        <v>44.0</v>
      </c>
      <c r="T53" s="52">
        <f t="shared" si="4"/>
        <v>3.06973E+18</v>
      </c>
      <c r="V53" s="51">
        <v>44.0</v>
      </c>
      <c r="W53" s="52">
        <f t="shared" si="5"/>
        <v>1.50539E+20</v>
      </c>
    </row>
    <row r="54">
      <c r="G54" s="32">
        <v>45.0</v>
      </c>
      <c r="H54" s="42">
        <f t="shared" si="1"/>
        <v>227716.6479</v>
      </c>
      <c r="K54" s="51">
        <v>45.0</v>
      </c>
      <c r="L54" s="52">
        <f t="shared" si="2"/>
        <v>1.05202E+15</v>
      </c>
      <c r="O54" s="51">
        <v>45.0</v>
      </c>
      <c r="P54" s="52">
        <f t="shared" si="3"/>
        <v>2.99651E+18</v>
      </c>
      <c r="S54" s="51">
        <v>45.0</v>
      </c>
      <c r="T54" s="52">
        <f t="shared" si="4"/>
        <v>6.75341E+18</v>
      </c>
      <c r="V54" s="51">
        <v>45.0</v>
      </c>
      <c r="W54" s="52">
        <f t="shared" si="5"/>
        <v>3.16132E+20</v>
      </c>
    </row>
    <row r="55">
      <c r="G55" s="32">
        <v>46.0</v>
      </c>
      <c r="H55" s="42">
        <f t="shared" si="1"/>
        <v>378738.3288</v>
      </c>
      <c r="K55" s="51">
        <v>46.0</v>
      </c>
      <c r="L55" s="52">
        <f t="shared" si="2"/>
        <v>3.24949E+15</v>
      </c>
      <c r="O55" s="51">
        <v>46.0</v>
      </c>
      <c r="P55" s="52">
        <f t="shared" si="3"/>
        <v>9.76981E+18</v>
      </c>
      <c r="S55" s="51">
        <v>46.0</v>
      </c>
      <c r="T55" s="52">
        <f t="shared" si="4"/>
        <v>1.48575E+19</v>
      </c>
      <c r="V55" s="51">
        <v>46.0</v>
      </c>
      <c r="W55" s="52">
        <f t="shared" si="5"/>
        <v>6.63877E+20</v>
      </c>
    </row>
    <row r="56">
      <c r="G56" s="32">
        <v>47.0</v>
      </c>
      <c r="H56" s="42">
        <f t="shared" si="1"/>
        <v>629917.5884</v>
      </c>
      <c r="K56" s="51">
        <v>47.0</v>
      </c>
      <c r="L56" s="52">
        <f t="shared" si="2"/>
        <v>1.0037E+16</v>
      </c>
      <c r="O56" s="51">
        <v>47.0</v>
      </c>
      <c r="P56" s="52">
        <f t="shared" si="3"/>
        <v>3.18535E+19</v>
      </c>
      <c r="S56" s="51">
        <v>47.0</v>
      </c>
      <c r="T56" s="52">
        <f t="shared" si="4"/>
        <v>3.26865E+19</v>
      </c>
      <c r="V56" s="51">
        <v>47.0</v>
      </c>
      <c r="W56" s="52">
        <f t="shared" si="5"/>
        <v>1.39414E+21</v>
      </c>
    </row>
    <row r="57">
      <c r="G57" s="32">
        <v>48.0</v>
      </c>
      <c r="H57" s="42">
        <f t="shared" si="1"/>
        <v>1047678.933</v>
      </c>
      <c r="K57" s="51">
        <v>48.0</v>
      </c>
      <c r="L57" s="52">
        <f t="shared" si="2"/>
        <v>3.10024E+16</v>
      </c>
      <c r="O57" s="51">
        <v>48.0</v>
      </c>
      <c r="P57" s="52">
        <f t="shared" si="3"/>
        <v>1.03855E+20</v>
      </c>
      <c r="S57" s="51">
        <v>48.0</v>
      </c>
      <c r="T57" s="52">
        <f t="shared" si="4"/>
        <v>7.19103E+19</v>
      </c>
      <c r="V57" s="51">
        <v>48.0</v>
      </c>
      <c r="W57" s="52">
        <f t="shared" si="5"/>
        <v>2.9277E+21</v>
      </c>
    </row>
    <row r="58">
      <c r="G58" s="32">
        <v>49.0</v>
      </c>
      <c r="H58" s="42">
        <f t="shared" si="1"/>
        <v>1742499.601</v>
      </c>
      <c r="K58" s="51">
        <v>49.0</v>
      </c>
      <c r="L58" s="52">
        <f t="shared" si="2"/>
        <v>9.57602E+16</v>
      </c>
      <c r="O58" s="51">
        <v>49.0</v>
      </c>
      <c r="P58" s="52">
        <f t="shared" si="3"/>
        <v>3.38609E+20</v>
      </c>
      <c r="S58" s="51">
        <v>49.0</v>
      </c>
      <c r="T58" s="52">
        <f t="shared" si="4"/>
        <v>1.58203E+20</v>
      </c>
      <c r="V58" s="51">
        <v>49.0</v>
      </c>
      <c r="W58" s="52">
        <f t="shared" si="5"/>
        <v>6.14816E+21</v>
      </c>
    </row>
    <row r="59">
      <c r="G59" s="32">
        <v>50.0</v>
      </c>
      <c r="H59" s="42">
        <f t="shared" si="1"/>
        <v>2898125.337</v>
      </c>
      <c r="L59" s="31"/>
      <c r="T59" s="42"/>
    </row>
    <row r="60">
      <c r="G60" s="32">
        <v>51.0</v>
      </c>
      <c r="H60" s="42">
        <f t="shared" si="1"/>
        <v>4820162.061</v>
      </c>
      <c r="L60" s="31"/>
      <c r="T60" s="42"/>
    </row>
    <row r="61">
      <c r="G61" s="32">
        <v>52.0</v>
      </c>
      <c r="H61" s="42">
        <f t="shared" si="1"/>
        <v>8016893.539</v>
      </c>
      <c r="L61" s="31"/>
      <c r="T61" s="42"/>
    </row>
    <row r="62">
      <c r="G62" s="32">
        <v>53.0</v>
      </c>
      <c r="H62" s="42">
        <f t="shared" si="1"/>
        <v>13333697.33</v>
      </c>
      <c r="L62" s="31"/>
      <c r="T62" s="42"/>
    </row>
    <row r="63">
      <c r="G63" s="32">
        <v>54.0</v>
      </c>
      <c r="H63" s="42">
        <f t="shared" si="1"/>
        <v>22176605.41</v>
      </c>
      <c r="L63" s="31"/>
      <c r="T63" s="42"/>
    </row>
    <row r="64">
      <c r="G64" s="32">
        <v>55.0</v>
      </c>
      <c r="H64" s="42">
        <f t="shared" si="1"/>
        <v>36884130.11</v>
      </c>
      <c r="L64" s="31"/>
      <c r="T64" s="42"/>
    </row>
    <row r="65">
      <c r="G65" s="32">
        <v>56.0</v>
      </c>
      <c r="H65" s="42">
        <f t="shared" si="1"/>
        <v>61345685.2</v>
      </c>
      <c r="L65" s="31"/>
      <c r="T65" s="42"/>
    </row>
    <row r="66">
      <c r="G66" s="32">
        <v>57.0</v>
      </c>
      <c r="H66" s="42">
        <f t="shared" si="1"/>
        <v>102030143.6</v>
      </c>
      <c r="L66" s="31"/>
      <c r="T66" s="42"/>
    </row>
    <row r="67">
      <c r="G67" s="32">
        <v>58.0</v>
      </c>
      <c r="H67" s="42">
        <f t="shared" si="1"/>
        <v>169696534.9</v>
      </c>
      <c r="L67" s="31"/>
      <c r="T67" s="42"/>
    </row>
    <row r="68">
      <c r="G68" s="32">
        <v>59.0</v>
      </c>
      <c r="H68" s="42">
        <f t="shared" si="1"/>
        <v>282239276.8</v>
      </c>
      <c r="L68" s="31"/>
      <c r="T68" s="42"/>
    </row>
    <row r="69">
      <c r="G69" s="32">
        <v>60.0</v>
      </c>
      <c r="H69" s="42">
        <f t="shared" si="1"/>
        <v>469420365.2</v>
      </c>
      <c r="L69" s="31"/>
      <c r="T69" s="42"/>
    </row>
    <row r="70">
      <c r="G70" s="51">
        <v>61.0</v>
      </c>
      <c r="H70" s="52">
        <f t="shared" si="1"/>
        <v>780739951.4</v>
      </c>
      <c r="L70" s="31"/>
      <c r="T70" s="42"/>
    </row>
    <row r="71">
      <c r="G71" s="51">
        <v>62.0</v>
      </c>
      <c r="H71" s="52">
        <f t="shared" si="1"/>
        <v>1298526687</v>
      </c>
      <c r="L71" s="31"/>
      <c r="T71" s="42"/>
    </row>
    <row r="72">
      <c r="G72" s="51">
        <v>63.0</v>
      </c>
      <c r="H72" s="52">
        <f t="shared" si="1"/>
        <v>2159709586</v>
      </c>
      <c r="L72" s="31"/>
      <c r="T72" s="42"/>
    </row>
    <row r="73">
      <c r="G73" s="51">
        <v>64.0</v>
      </c>
      <c r="H73" s="52">
        <f t="shared" si="1"/>
        <v>3592028984</v>
      </c>
      <c r="L73" s="31"/>
      <c r="T73" s="42"/>
    </row>
    <row r="74">
      <c r="G74" s="51">
        <v>65.0</v>
      </c>
      <c r="H74" s="52">
        <f t="shared" si="1"/>
        <v>5974262606</v>
      </c>
      <c r="L74" s="31"/>
      <c r="T74" s="42"/>
    </row>
    <row r="75">
      <c r="G75" s="51">
        <v>66.0</v>
      </c>
      <c r="H75" s="52">
        <f t="shared" si="1"/>
        <v>9936393566</v>
      </c>
      <c r="L75" s="31"/>
      <c r="T75" s="42"/>
    </row>
    <row r="76">
      <c r="G76" s="51">
        <v>67.0</v>
      </c>
      <c r="H76" s="52">
        <f t="shared" si="1"/>
        <v>16526209778</v>
      </c>
      <c r="L76" s="31"/>
      <c r="T76" s="42"/>
    </row>
    <row r="77">
      <c r="G77" s="51">
        <v>68.0</v>
      </c>
      <c r="H77" s="52">
        <f t="shared" si="1"/>
        <v>27486392103</v>
      </c>
      <c r="L77" s="31"/>
      <c r="T77" s="42"/>
    </row>
    <row r="78">
      <c r="G78" s="51">
        <v>69.0</v>
      </c>
      <c r="H78" s="52">
        <f t="shared" si="1"/>
        <v>45715367346</v>
      </c>
      <c r="L78" s="31"/>
      <c r="T78" s="42"/>
    </row>
    <row r="79">
      <c r="G79" s="51">
        <v>70.0</v>
      </c>
      <c r="H79" s="52">
        <f t="shared" si="1"/>
        <v>76033798969</v>
      </c>
      <c r="L79" s="31"/>
      <c r="T79" s="42"/>
    </row>
    <row r="80">
      <c r="G80" s="51">
        <v>71.0</v>
      </c>
      <c r="H80" s="52">
        <f t="shared" si="1"/>
        <v>126459414446</v>
      </c>
      <c r="L80" s="31"/>
      <c r="T80" s="42"/>
    </row>
    <row r="81">
      <c r="G81" s="51">
        <v>72.0</v>
      </c>
      <c r="H81" s="52">
        <f t="shared" si="1"/>
        <v>210327298107</v>
      </c>
      <c r="L81" s="31"/>
      <c r="T81" s="42"/>
    </row>
    <row r="82">
      <c r="G82" s="51">
        <v>73.0</v>
      </c>
      <c r="H82" s="52">
        <f t="shared" si="1"/>
        <v>349816362211</v>
      </c>
      <c r="L82" s="31"/>
      <c r="T82" s="42"/>
    </row>
    <row r="83">
      <c r="G83" s="51">
        <v>74.0</v>
      </c>
      <c r="H83" s="52">
        <f t="shared" si="1"/>
        <v>581814573629</v>
      </c>
      <c r="L83" s="31"/>
      <c r="T83" s="42"/>
    </row>
    <row r="84">
      <c r="G84" s="51">
        <v>75.0</v>
      </c>
      <c r="H84" s="52">
        <f t="shared" si="1"/>
        <v>967673998860</v>
      </c>
      <c r="L84" s="31"/>
      <c r="T84" s="42"/>
    </row>
    <row r="85">
      <c r="G85" s="51">
        <v>76.0</v>
      </c>
      <c r="H85" s="52">
        <f t="shared" si="1"/>
        <v>1609435394904</v>
      </c>
      <c r="L85" s="31"/>
      <c r="T85" s="42"/>
    </row>
    <row r="86">
      <c r="G86" s="51">
        <v>77.0</v>
      </c>
      <c r="H86" s="52">
        <f t="shared" si="1"/>
        <v>2676812948804</v>
      </c>
      <c r="L86" s="31"/>
      <c r="T86" s="42"/>
    </row>
    <row r="87">
      <c r="G87" s="51">
        <v>78.0</v>
      </c>
      <c r="H87" s="52">
        <f t="shared" si="1"/>
        <v>4452075296451</v>
      </c>
      <c r="L87" s="31"/>
      <c r="T87" s="42"/>
    </row>
    <row r="88">
      <c r="G88" s="51">
        <v>79.0</v>
      </c>
      <c r="H88" s="52">
        <f t="shared" si="1"/>
        <v>7404691633057</v>
      </c>
      <c r="L88" s="31"/>
      <c r="T88" s="42"/>
    </row>
    <row r="89">
      <c r="G89" s="51">
        <v>80.0</v>
      </c>
      <c r="H89" s="52">
        <f t="shared" si="1"/>
        <v>12315483124101</v>
      </c>
      <c r="L89" s="31"/>
      <c r="T89" s="42"/>
    </row>
    <row r="90">
      <c r="G90" s="51">
        <v>81.0</v>
      </c>
      <c r="H90" s="52">
        <f t="shared" si="1"/>
        <v>20483111532004</v>
      </c>
      <c r="L90" s="31"/>
      <c r="T90" s="42"/>
    </row>
    <row r="91">
      <c r="G91" s="51">
        <v>82.0</v>
      </c>
      <c r="H91" s="52">
        <f t="shared" si="1"/>
        <v>34067511100029</v>
      </c>
      <c r="L91" s="31"/>
      <c r="T91" s="42"/>
    </row>
    <row r="92">
      <c r="G92" s="51">
        <v>83.0</v>
      </c>
      <c r="H92" s="52">
        <f t="shared" si="1"/>
        <v>56661084461569</v>
      </c>
      <c r="L92" s="31"/>
      <c r="T92" s="42"/>
    </row>
    <row r="93">
      <c r="G93" s="51">
        <v>84.0</v>
      </c>
      <c r="H93" s="52">
        <f t="shared" si="1"/>
        <v>94238715676481</v>
      </c>
      <c r="L93" s="31"/>
      <c r="T93" s="42"/>
    </row>
    <row r="94">
      <c r="G94" s="51">
        <v>85.0</v>
      </c>
      <c r="H94" s="52">
        <f t="shared" si="1"/>
        <v>156737831913123</v>
      </c>
      <c r="L94" s="31"/>
      <c r="T94" s="42"/>
    </row>
    <row r="95">
      <c r="G95" s="51">
        <v>86.0</v>
      </c>
      <c r="H95" s="52">
        <f t="shared" si="1"/>
        <v>260686362037906</v>
      </c>
      <c r="L95" s="31"/>
      <c r="T95" s="42"/>
    </row>
    <row r="96">
      <c r="G96" s="51">
        <v>87.0</v>
      </c>
      <c r="H96" s="52">
        <f t="shared" si="1"/>
        <v>433573557341446</v>
      </c>
      <c r="L96" s="31"/>
      <c r="T96" s="42"/>
    </row>
    <row r="97">
      <c r="G97" s="51">
        <v>88.0</v>
      </c>
      <c r="H97" s="52">
        <f t="shared" si="1"/>
        <v>721119540570293</v>
      </c>
      <c r="L97" s="31"/>
      <c r="T97" s="42"/>
    </row>
    <row r="98">
      <c r="G98" s="51">
        <v>89.0</v>
      </c>
      <c r="H98" s="52">
        <f t="shared" si="1"/>
        <v>1.19937E+15</v>
      </c>
      <c r="L98" s="31"/>
      <c r="T98" s="42"/>
    </row>
    <row r="99">
      <c r="G99" s="51">
        <v>90.0</v>
      </c>
      <c r="H99" s="52">
        <f t="shared" si="1"/>
        <v>1.99479E+15</v>
      </c>
      <c r="L99" s="31"/>
      <c r="T99" s="42"/>
    </row>
    <row r="100">
      <c r="G100" s="51">
        <v>91.0</v>
      </c>
      <c r="H100" s="52">
        <f t="shared" si="1"/>
        <v>3.31773E+15</v>
      </c>
      <c r="L100" s="31"/>
      <c r="T100" s="42"/>
    </row>
    <row r="101">
      <c r="G101" s="51">
        <v>92.0</v>
      </c>
      <c r="H101" s="52">
        <f t="shared" si="1"/>
        <v>5.51804E+15</v>
      </c>
      <c r="L101" s="31"/>
      <c r="T101" s="42"/>
    </row>
    <row r="102">
      <c r="G102" s="51">
        <v>93.0</v>
      </c>
      <c r="H102" s="52">
        <f t="shared" si="1"/>
        <v>9.17761E+15</v>
      </c>
      <c r="L102" s="31"/>
      <c r="T102" s="42"/>
    </row>
    <row r="103">
      <c r="G103" s="51">
        <v>94.0</v>
      </c>
      <c r="H103" s="52">
        <f t="shared" si="1"/>
        <v>1.52642E+16</v>
      </c>
      <c r="L103" s="31"/>
      <c r="T103" s="42"/>
    </row>
    <row r="104">
      <c r="G104" s="51">
        <v>95.0</v>
      </c>
      <c r="H104" s="52">
        <f t="shared" si="1"/>
        <v>2.53874E+16</v>
      </c>
      <c r="L104" s="31"/>
      <c r="T104" s="42"/>
    </row>
    <row r="105">
      <c r="G105" s="51">
        <v>96.0</v>
      </c>
      <c r="H105" s="52">
        <f t="shared" si="1"/>
        <v>4.22244E+16</v>
      </c>
      <c r="L105" s="31"/>
      <c r="T105" s="42"/>
    </row>
    <row r="106">
      <c r="G106" s="51">
        <v>97.0</v>
      </c>
      <c r="H106" s="52">
        <f t="shared" si="1"/>
        <v>7.02276E+16</v>
      </c>
      <c r="L106" s="31"/>
      <c r="T106" s="42"/>
    </row>
    <row r="107">
      <c r="G107" s="51">
        <v>98.0</v>
      </c>
      <c r="H107" s="52">
        <f t="shared" si="1"/>
        <v>1.16802E+17</v>
      </c>
      <c r="L107" s="31"/>
      <c r="T107" s="42"/>
    </row>
    <row r="108">
      <c r="G108" s="51">
        <v>99.0</v>
      </c>
      <c r="H108" s="52">
        <f t="shared" si="1"/>
        <v>1.94266E+17</v>
      </c>
      <c r="L108" s="31"/>
      <c r="T108" s="42"/>
    </row>
    <row r="109">
      <c r="G109" s="51">
        <v>100.0</v>
      </c>
      <c r="H109" s="52">
        <f t="shared" si="1"/>
        <v>3.23103E+17</v>
      </c>
      <c r="L109" s="31"/>
      <c r="T109" s="42"/>
    </row>
    <row r="110">
      <c r="G110" s="51">
        <v>101.0</v>
      </c>
      <c r="H110" s="52">
        <f t="shared" si="1"/>
        <v>5.37385E+17</v>
      </c>
      <c r="L110" s="31"/>
      <c r="T110" s="42"/>
    </row>
    <row r="111">
      <c r="G111" s="51">
        <v>102.0</v>
      </c>
      <c r="H111" s="52">
        <f t="shared" si="1"/>
        <v>8.93779E+17</v>
      </c>
      <c r="L111" s="31"/>
      <c r="T111" s="42"/>
    </row>
    <row r="112">
      <c r="G112" s="51">
        <v>103.0</v>
      </c>
      <c r="H112" s="52">
        <f t="shared" si="1"/>
        <v>1.48653E+18</v>
      </c>
      <c r="L112" s="31"/>
      <c r="T112" s="42"/>
    </row>
    <row r="113">
      <c r="G113" s="51">
        <v>104.0</v>
      </c>
      <c r="H113" s="52">
        <f t="shared" si="1"/>
        <v>2.4724E+18</v>
      </c>
      <c r="L113" s="31"/>
      <c r="T113" s="42"/>
    </row>
    <row r="114">
      <c r="G114" s="51">
        <v>105.0</v>
      </c>
      <c r="H114" s="52">
        <f t="shared" si="1"/>
        <v>4.1121E+18</v>
      </c>
      <c r="L114" s="31"/>
      <c r="T114" s="42"/>
    </row>
    <row r="115">
      <c r="G115" s="51">
        <v>106.0</v>
      </c>
      <c r="H115" s="52">
        <f t="shared" si="1"/>
        <v>6.83924E+18</v>
      </c>
      <c r="L115" s="31"/>
      <c r="T115" s="42"/>
    </row>
    <row r="116">
      <c r="G116" s="51">
        <v>107.0</v>
      </c>
      <c r="H116" s="52">
        <f t="shared" si="1"/>
        <v>1.1375E+19</v>
      </c>
      <c r="L116" s="31"/>
      <c r="T116" s="42"/>
    </row>
    <row r="117">
      <c r="G117" s="51">
        <v>108.0</v>
      </c>
      <c r="H117" s="52">
        <f t="shared" si="1"/>
        <v>1.89189E+19</v>
      </c>
      <c r="L117" s="31"/>
      <c r="T117" s="42"/>
    </row>
    <row r="118">
      <c r="G118" s="51">
        <v>109.0</v>
      </c>
      <c r="H118" s="52">
        <f t="shared" si="1"/>
        <v>3.1466E+19</v>
      </c>
      <c r="L118" s="31"/>
      <c r="T118" s="42"/>
    </row>
    <row r="119">
      <c r="G119" s="51">
        <v>110.0</v>
      </c>
      <c r="H119" s="52">
        <f t="shared" si="1"/>
        <v>5.23342E+19</v>
      </c>
      <c r="L119" s="31"/>
      <c r="T119" s="42"/>
    </row>
    <row r="120">
      <c r="G120" s="51">
        <v>111.0</v>
      </c>
      <c r="H120" s="52">
        <f t="shared" si="1"/>
        <v>8.70423E+19</v>
      </c>
      <c r="L120" s="31"/>
      <c r="T120" s="42"/>
    </row>
    <row r="121">
      <c r="G121" s="51">
        <v>112.0</v>
      </c>
      <c r="H121" s="52">
        <f t="shared" si="1"/>
        <v>1.44769E+20</v>
      </c>
      <c r="L121" s="31"/>
      <c r="T121" s="42"/>
    </row>
    <row r="122">
      <c r="G122" s="51">
        <v>113.0</v>
      </c>
      <c r="H122" s="52">
        <f t="shared" si="1"/>
        <v>2.40779E+20</v>
      </c>
      <c r="L122" s="31"/>
      <c r="T122" s="42"/>
    </row>
    <row r="123">
      <c r="G123" s="51">
        <v>114.0</v>
      </c>
      <c r="H123" s="52">
        <f t="shared" si="1"/>
        <v>4.00464E+20</v>
      </c>
      <c r="L123" s="31"/>
      <c r="T123" s="42"/>
    </row>
    <row r="124">
      <c r="G124" s="51">
        <v>115.0</v>
      </c>
      <c r="H124" s="52">
        <f t="shared" si="1"/>
        <v>6.66052E+20</v>
      </c>
      <c r="L124" s="31"/>
      <c r="T124" s="42"/>
    </row>
    <row r="125">
      <c r="G125" s="51">
        <v>116.0</v>
      </c>
      <c r="H125" s="52">
        <f t="shared" si="1"/>
        <v>1.10778E+21</v>
      </c>
      <c r="L125" s="31"/>
      <c r="T125" s="42"/>
    </row>
    <row r="126">
      <c r="G126" s="51">
        <v>117.0</v>
      </c>
      <c r="H126" s="52">
        <f t="shared" si="1"/>
        <v>1.84246E+21</v>
      </c>
      <c r="L126" s="31"/>
      <c r="T126" s="42"/>
    </row>
    <row r="127">
      <c r="G127" s="51">
        <v>118.0</v>
      </c>
      <c r="H127" s="52">
        <f t="shared" si="1"/>
        <v>3.06437E+21</v>
      </c>
      <c r="L127" s="31"/>
      <c r="T127" s="42"/>
    </row>
    <row r="128">
      <c r="G128" s="51">
        <v>119.0</v>
      </c>
      <c r="H128" s="52">
        <f t="shared" si="1"/>
        <v>5.09666E+21</v>
      </c>
      <c r="L128" s="31"/>
      <c r="T128" s="42"/>
    </row>
    <row r="129">
      <c r="G129" s="51">
        <v>120.0</v>
      </c>
      <c r="H129" s="52">
        <f t="shared" si="1"/>
        <v>8.47677E+21</v>
      </c>
      <c r="L129" s="31"/>
      <c r="T129" s="42"/>
    </row>
    <row r="130">
      <c r="G130" s="51">
        <v>121.0</v>
      </c>
      <c r="H130" s="52">
        <f t="shared" si="1"/>
        <v>1.40986E+22</v>
      </c>
      <c r="L130" s="31"/>
      <c r="T130" s="42"/>
    </row>
    <row r="131">
      <c r="G131" s="51">
        <v>122.0</v>
      </c>
      <c r="H131" s="52">
        <f t="shared" si="1"/>
        <v>2.34487E+22</v>
      </c>
      <c r="L131" s="31"/>
      <c r="T131" s="42"/>
    </row>
    <row r="132">
      <c r="G132" s="51">
        <v>123.0</v>
      </c>
      <c r="H132" s="52">
        <f t="shared" si="1"/>
        <v>3.89999E+22</v>
      </c>
      <c r="L132" s="31"/>
      <c r="T132" s="42"/>
    </row>
    <row r="133">
      <c r="G133" s="51">
        <v>124.0</v>
      </c>
      <c r="H133" s="52">
        <f t="shared" si="1"/>
        <v>6.48647E+22</v>
      </c>
      <c r="L133" s="31"/>
      <c r="T133" s="42"/>
    </row>
    <row r="134">
      <c r="G134" s="51">
        <v>125.0</v>
      </c>
      <c r="H134" s="52">
        <f t="shared" si="1"/>
        <v>1.07883E+23</v>
      </c>
      <c r="L134" s="31"/>
      <c r="T134" s="42"/>
    </row>
    <row r="135">
      <c r="G135" s="51">
        <v>126.0</v>
      </c>
      <c r="H135" s="52">
        <f t="shared" si="1"/>
        <v>1.79431E+23</v>
      </c>
      <c r="L135" s="31"/>
      <c r="T135" s="42"/>
    </row>
    <row r="136">
      <c r="G136" s="51">
        <v>127.0</v>
      </c>
      <c r="H136" s="52">
        <f t="shared" si="1"/>
        <v>2.9843E+23</v>
      </c>
      <c r="L136" s="31"/>
      <c r="T136" s="42"/>
    </row>
    <row r="137">
      <c r="G137" s="51">
        <v>128.0</v>
      </c>
      <c r="H137" s="52">
        <f t="shared" si="1"/>
        <v>4.96348E+23</v>
      </c>
      <c r="L137" s="31"/>
      <c r="T137" s="42"/>
    </row>
    <row r="138">
      <c r="G138" s="51">
        <v>129.0</v>
      </c>
      <c r="H138" s="52">
        <f t="shared" si="1"/>
        <v>8.25526E+23</v>
      </c>
      <c r="L138" s="31"/>
      <c r="T138" s="42"/>
    </row>
    <row r="139">
      <c r="G139" s="51">
        <v>130.0</v>
      </c>
      <c r="H139" s="52">
        <f t="shared" si="1"/>
        <v>1.37301E+24</v>
      </c>
      <c r="L139" s="31"/>
      <c r="T139" s="42"/>
    </row>
    <row r="140">
      <c r="G140" s="51">
        <v>131.0</v>
      </c>
      <c r="H140" s="52">
        <f t="shared" si="1"/>
        <v>2.2836E+24</v>
      </c>
      <c r="L140" s="31"/>
      <c r="T140" s="42"/>
    </row>
    <row r="141">
      <c r="G141" s="51">
        <v>132.0</v>
      </c>
      <c r="H141" s="52">
        <f t="shared" si="1"/>
        <v>3.79808E+24</v>
      </c>
      <c r="L141" s="31"/>
      <c r="T141" s="42"/>
    </row>
    <row r="142">
      <c r="G142" s="51">
        <v>133.0</v>
      </c>
      <c r="H142" s="52">
        <f t="shared" si="1"/>
        <v>6.31697E+24</v>
      </c>
      <c r="L142" s="31"/>
      <c r="T142" s="42"/>
    </row>
    <row r="143">
      <c r="G143" s="51">
        <v>134.0</v>
      </c>
      <c r="H143" s="52">
        <f t="shared" si="1"/>
        <v>1.05064E+25</v>
      </c>
      <c r="L143" s="31"/>
      <c r="T143" s="42"/>
    </row>
    <row r="144">
      <c r="G144" s="51">
        <v>135.0</v>
      </c>
      <c r="H144" s="52">
        <f t="shared" si="1"/>
        <v>1.74742E+25</v>
      </c>
      <c r="L144" s="31"/>
      <c r="T144" s="42"/>
    </row>
    <row r="145">
      <c r="G145" s="51">
        <v>136.0</v>
      </c>
      <c r="H145" s="52">
        <f t="shared" si="1"/>
        <v>2.90631E+25</v>
      </c>
      <c r="L145" s="31"/>
      <c r="T145" s="42"/>
    </row>
    <row r="146">
      <c r="G146" s="51">
        <v>137.0</v>
      </c>
      <c r="H146" s="52">
        <f t="shared" si="1"/>
        <v>4.83378E+25</v>
      </c>
      <c r="L146" s="31"/>
      <c r="T146" s="42"/>
    </row>
    <row r="147">
      <c r="G147" s="51">
        <v>138.0</v>
      </c>
      <c r="H147" s="52">
        <f t="shared" si="1"/>
        <v>8.03954E+25</v>
      </c>
      <c r="L147" s="31"/>
      <c r="T147" s="42"/>
    </row>
    <row r="148">
      <c r="G148" s="51">
        <v>139.0</v>
      </c>
      <c r="H148" s="52">
        <f t="shared" si="1"/>
        <v>1.33714E+26</v>
      </c>
      <c r="L148" s="31"/>
      <c r="T148" s="42"/>
    </row>
    <row r="149">
      <c r="G149" s="51">
        <v>140.0</v>
      </c>
      <c r="H149" s="52">
        <f t="shared" si="1"/>
        <v>2.22392E+26</v>
      </c>
      <c r="L149" s="31"/>
      <c r="T149" s="42"/>
    </row>
    <row r="150">
      <c r="G150" s="51">
        <v>141.0</v>
      </c>
      <c r="H150" s="52">
        <f t="shared" si="1"/>
        <v>3.69883E+26</v>
      </c>
      <c r="L150" s="31"/>
      <c r="T150" s="42"/>
    </row>
    <row r="151">
      <c r="G151" s="51">
        <v>142.0</v>
      </c>
      <c r="H151" s="52">
        <f t="shared" si="1"/>
        <v>6.1519E+26</v>
      </c>
      <c r="L151" s="31"/>
      <c r="T151" s="42"/>
    </row>
    <row r="152">
      <c r="G152" s="51">
        <v>143.0</v>
      </c>
      <c r="H152" s="52">
        <f t="shared" si="1"/>
        <v>1.02318E+27</v>
      </c>
      <c r="L152" s="31"/>
      <c r="T152" s="42"/>
    </row>
    <row r="153">
      <c r="G153" s="51">
        <v>144.0</v>
      </c>
      <c r="H153" s="52">
        <f t="shared" si="1"/>
        <v>1.70176E+27</v>
      </c>
      <c r="L153" s="31"/>
      <c r="T153" s="42"/>
    </row>
    <row r="154">
      <c r="G154" s="51">
        <v>145.0</v>
      </c>
      <c r="H154" s="52">
        <f t="shared" si="1"/>
        <v>2.83036E+27</v>
      </c>
      <c r="L154" s="31"/>
      <c r="T154" s="42"/>
    </row>
    <row r="155">
      <c r="G155" s="51">
        <v>146.0</v>
      </c>
      <c r="H155" s="52">
        <f t="shared" si="1"/>
        <v>4.70746E+27</v>
      </c>
      <c r="L155" s="31"/>
      <c r="T155" s="42"/>
    </row>
    <row r="156">
      <c r="G156" s="51">
        <v>147.0</v>
      </c>
      <c r="H156" s="52">
        <f t="shared" si="1"/>
        <v>7.82945E+27</v>
      </c>
      <c r="L156" s="31"/>
      <c r="T156" s="42"/>
    </row>
    <row r="157">
      <c r="G157" s="51">
        <v>148.0</v>
      </c>
      <c r="H157" s="52">
        <f t="shared" si="1"/>
        <v>1.30219E+28</v>
      </c>
      <c r="L157" s="31"/>
      <c r="T157" s="42"/>
    </row>
    <row r="158">
      <c r="G158" s="51">
        <v>149.0</v>
      </c>
      <c r="H158" s="52">
        <f t="shared" si="1"/>
        <v>2.16581E+28</v>
      </c>
      <c r="L158" s="31"/>
      <c r="T158" s="42"/>
    </row>
    <row r="159">
      <c r="G159" s="51">
        <v>150.0</v>
      </c>
      <c r="H159" s="52">
        <f t="shared" si="1"/>
        <v>3.60217E+28</v>
      </c>
      <c r="L159" s="31"/>
      <c r="T159" s="42"/>
    </row>
    <row r="160">
      <c r="G160" s="51">
        <v>151.0</v>
      </c>
      <c r="H160" s="52">
        <f t="shared" si="1"/>
        <v>5.99114E+28</v>
      </c>
      <c r="L160" s="31"/>
      <c r="T160" s="42"/>
    </row>
    <row r="161">
      <c r="G161" s="51">
        <v>152.0</v>
      </c>
      <c r="H161" s="52">
        <f t="shared" si="1"/>
        <v>9.96446E+28</v>
      </c>
      <c r="L161" s="31"/>
      <c r="T161" s="42"/>
    </row>
    <row r="162">
      <c r="G162" s="51">
        <v>153.0</v>
      </c>
      <c r="H162" s="52">
        <f t="shared" si="1"/>
        <v>1.65729E+29</v>
      </c>
      <c r="L162" s="31"/>
      <c r="T162" s="42"/>
    </row>
    <row r="163">
      <c r="G163" s="51">
        <v>154.0</v>
      </c>
      <c r="H163" s="52">
        <f t="shared" si="1"/>
        <v>2.7564E+29</v>
      </c>
      <c r="L163" s="31"/>
      <c r="T163" s="42"/>
    </row>
    <row r="164">
      <c r="G164" s="51">
        <v>155.0</v>
      </c>
      <c r="H164" s="52">
        <f t="shared" si="1"/>
        <v>4.58445E+29</v>
      </c>
      <c r="L164" s="31"/>
      <c r="T164" s="42"/>
    </row>
    <row r="165">
      <c r="G165" s="51">
        <v>156.0</v>
      </c>
      <c r="H165" s="52">
        <f t="shared" si="1"/>
        <v>7.62486E+29</v>
      </c>
      <c r="L165" s="31"/>
      <c r="T165" s="42"/>
    </row>
    <row r="166">
      <c r="G166" s="51">
        <v>157.0</v>
      </c>
      <c r="H166" s="52">
        <f t="shared" si="1"/>
        <v>1.26817E+30</v>
      </c>
      <c r="L166" s="31"/>
      <c r="T166" s="42"/>
    </row>
    <row r="167">
      <c r="G167" s="51">
        <v>158.0</v>
      </c>
      <c r="H167" s="52">
        <f t="shared" si="1"/>
        <v>2.10921E+30</v>
      </c>
      <c r="L167" s="31"/>
      <c r="T167" s="42"/>
    </row>
    <row r="168">
      <c r="G168" s="51">
        <v>159.0</v>
      </c>
      <c r="H168" s="52">
        <f t="shared" si="1"/>
        <v>3.50804E+30</v>
      </c>
      <c r="L168" s="31"/>
      <c r="T168" s="42"/>
    </row>
    <row r="169">
      <c r="G169" s="51">
        <v>160.0</v>
      </c>
      <c r="H169" s="52">
        <f t="shared" si="1"/>
        <v>5.83458E+30</v>
      </c>
      <c r="L169" s="31"/>
      <c r="T169" s="42"/>
    </row>
    <row r="170">
      <c r="G170" s="51">
        <v>161.0</v>
      </c>
      <c r="H170" s="52">
        <f t="shared" si="1"/>
        <v>9.70407E+30</v>
      </c>
      <c r="L170" s="31"/>
      <c r="T170" s="42"/>
    </row>
    <row r="171">
      <c r="G171" s="51">
        <v>162.0</v>
      </c>
      <c r="H171" s="52">
        <f t="shared" si="1"/>
        <v>1.61398E+31</v>
      </c>
      <c r="L171" s="31"/>
      <c r="T171" s="42"/>
    </row>
    <row r="172">
      <c r="G172" s="51">
        <v>163.0</v>
      </c>
      <c r="H172" s="52">
        <f t="shared" si="1"/>
        <v>2.68437E+31</v>
      </c>
      <c r="L172" s="31"/>
      <c r="T172" s="42"/>
    </row>
    <row r="173">
      <c r="G173" s="51">
        <v>164.0</v>
      </c>
      <c r="H173" s="52">
        <f t="shared" si="1"/>
        <v>4.46465E+31</v>
      </c>
      <c r="L173" s="31"/>
      <c r="T173" s="42"/>
    </row>
    <row r="174">
      <c r="G174" s="51">
        <v>165.0</v>
      </c>
      <c r="H174" s="52">
        <f t="shared" si="1"/>
        <v>7.42561E+31</v>
      </c>
      <c r="L174" s="31"/>
      <c r="T174" s="42"/>
    </row>
    <row r="175">
      <c r="G175" s="51">
        <v>166.0</v>
      </c>
      <c r="H175" s="52">
        <f t="shared" si="1"/>
        <v>1.23503E+32</v>
      </c>
      <c r="L175" s="31"/>
      <c r="T175" s="42"/>
    </row>
    <row r="176">
      <c r="G176" s="51">
        <v>167.0</v>
      </c>
      <c r="H176" s="52">
        <f t="shared" si="1"/>
        <v>2.0541E+32</v>
      </c>
      <c r="L176" s="31"/>
      <c r="T176" s="42"/>
    </row>
    <row r="177">
      <c r="G177" s="51">
        <v>168.0</v>
      </c>
      <c r="H177" s="52">
        <f t="shared" si="1"/>
        <v>3.41637E+32</v>
      </c>
      <c r="L177" s="31"/>
      <c r="T177" s="42"/>
    </row>
    <row r="178">
      <c r="G178" s="51">
        <v>169.0</v>
      </c>
      <c r="H178" s="52">
        <f t="shared" si="1"/>
        <v>5.68211E+32</v>
      </c>
      <c r="L178" s="31"/>
      <c r="T178" s="42"/>
    </row>
    <row r="179">
      <c r="G179" s="51">
        <v>170.0</v>
      </c>
      <c r="H179" s="52">
        <f t="shared" si="1"/>
        <v>9.45049E+32</v>
      </c>
      <c r="L179" s="31"/>
      <c r="T179" s="42"/>
    </row>
    <row r="180">
      <c r="G180" s="51">
        <v>171.0</v>
      </c>
      <c r="H180" s="52">
        <f t="shared" si="1"/>
        <v>1.57181E+33</v>
      </c>
      <c r="L180" s="31"/>
      <c r="T180" s="42"/>
    </row>
    <row r="181">
      <c r="G181" s="51">
        <v>172.0</v>
      </c>
      <c r="H181" s="52">
        <f t="shared" si="1"/>
        <v>2.61423E+33</v>
      </c>
      <c r="L181" s="31"/>
      <c r="T181" s="42"/>
    </row>
    <row r="182">
      <c r="G182" s="51">
        <v>173.0</v>
      </c>
      <c r="H182" s="52">
        <f t="shared" si="1"/>
        <v>4.34798E+33</v>
      </c>
      <c r="L182" s="31"/>
      <c r="T182" s="42"/>
    </row>
    <row r="183">
      <c r="G183" s="51">
        <v>174.0</v>
      </c>
      <c r="H183" s="52">
        <f t="shared" si="1"/>
        <v>7.23156E+33</v>
      </c>
      <c r="L183" s="31"/>
      <c r="T183" s="42"/>
    </row>
    <row r="184">
      <c r="G184" s="51">
        <v>175.0</v>
      </c>
      <c r="H184" s="52">
        <f t="shared" si="1"/>
        <v>1.20275E+34</v>
      </c>
      <c r="L184" s="31"/>
      <c r="T184" s="42"/>
    </row>
    <row r="185">
      <c r="G185" s="51">
        <v>176.0</v>
      </c>
      <c r="H185" s="52">
        <f t="shared" si="1"/>
        <v>2.00042E+34</v>
      </c>
      <c r="L185" s="31"/>
      <c r="T185" s="42"/>
    </row>
    <row r="186">
      <c r="G186" s="51">
        <v>177.0</v>
      </c>
      <c r="H186" s="52">
        <f t="shared" si="1"/>
        <v>3.3271E+34</v>
      </c>
      <c r="L186" s="31"/>
      <c r="T186" s="42"/>
    </row>
    <row r="187">
      <c r="G187" s="51">
        <v>178.0</v>
      </c>
      <c r="H187" s="52">
        <f t="shared" si="1"/>
        <v>5.53363E+34</v>
      </c>
      <c r="L187" s="31"/>
      <c r="T187" s="42"/>
    </row>
    <row r="188">
      <c r="G188" s="51">
        <v>179.0</v>
      </c>
      <c r="H188" s="52">
        <f t="shared" si="1"/>
        <v>9.20353E+34</v>
      </c>
      <c r="L188" s="31"/>
      <c r="T188" s="42"/>
    </row>
    <row r="189">
      <c r="G189" s="51">
        <v>180.0</v>
      </c>
      <c r="H189" s="52">
        <f t="shared" si="1"/>
        <v>1.53073E+35</v>
      </c>
      <c r="L189" s="31"/>
      <c r="T189" s="42"/>
    </row>
    <row r="190">
      <c r="G190" s="51">
        <v>181.0</v>
      </c>
      <c r="H190" s="52">
        <f t="shared" si="1"/>
        <v>2.54591E+35</v>
      </c>
      <c r="L190" s="31"/>
      <c r="T190" s="42"/>
    </row>
    <row r="191">
      <c r="G191" s="51">
        <v>182.0</v>
      </c>
      <c r="H191" s="52">
        <f t="shared" si="1"/>
        <v>4.23436E+35</v>
      </c>
      <c r="L191" s="31"/>
      <c r="T191" s="42"/>
    </row>
    <row r="192">
      <c r="G192" s="51">
        <v>183.0</v>
      </c>
      <c r="H192" s="52">
        <f t="shared" si="1"/>
        <v>7.04259E+35</v>
      </c>
      <c r="L192" s="31"/>
      <c r="T192" s="42"/>
    </row>
    <row r="193">
      <c r="G193" s="51">
        <v>184.0</v>
      </c>
      <c r="H193" s="52">
        <f t="shared" si="1"/>
        <v>1.17132E+36</v>
      </c>
      <c r="L193" s="31"/>
      <c r="T193" s="42"/>
    </row>
    <row r="194">
      <c r="G194" s="51">
        <v>185.0</v>
      </c>
      <c r="H194" s="52">
        <f t="shared" si="1"/>
        <v>1.94815E+36</v>
      </c>
      <c r="L194" s="31"/>
      <c r="T194" s="42"/>
    </row>
    <row r="195">
      <c r="G195" s="51">
        <v>186.0</v>
      </c>
      <c r="H195" s="52">
        <f t="shared" si="1"/>
        <v>3.24016E+36</v>
      </c>
      <c r="L195" s="31"/>
      <c r="T195" s="42"/>
    </row>
    <row r="196">
      <c r="G196" s="51">
        <v>187.0</v>
      </c>
      <c r="H196" s="52">
        <f t="shared" si="1"/>
        <v>5.38903E+36</v>
      </c>
      <c r="L196" s="31"/>
      <c r="T196" s="42"/>
    </row>
    <row r="197">
      <c r="G197" s="51">
        <v>188.0</v>
      </c>
      <c r="H197" s="52">
        <f t="shared" si="1"/>
        <v>8.96303E+36</v>
      </c>
      <c r="L197" s="31"/>
      <c r="T197" s="42"/>
    </row>
    <row r="198">
      <c r="G198" s="51">
        <v>189.0</v>
      </c>
      <c r="H198" s="52">
        <f t="shared" si="1"/>
        <v>1.49073E+37</v>
      </c>
      <c r="L198" s="31"/>
      <c r="T198" s="42"/>
    </row>
    <row r="199">
      <c r="G199" s="51">
        <v>190.0</v>
      </c>
      <c r="H199" s="52">
        <f t="shared" si="1"/>
        <v>2.47938E+37</v>
      </c>
      <c r="L199" s="31"/>
      <c r="T199" s="42"/>
    </row>
    <row r="200">
      <c r="G200" s="51">
        <v>191.0</v>
      </c>
      <c r="H200" s="52">
        <f t="shared" si="1"/>
        <v>4.12371E+37</v>
      </c>
      <c r="L200" s="31"/>
      <c r="T200" s="42"/>
    </row>
    <row r="201">
      <c r="G201" s="51">
        <v>192.0</v>
      </c>
      <c r="H201" s="52">
        <f t="shared" si="1"/>
        <v>6.85856E+37</v>
      </c>
      <c r="L201" s="31"/>
      <c r="T201" s="42"/>
    </row>
    <row r="202">
      <c r="G202" s="51">
        <v>193.0</v>
      </c>
      <c r="H202" s="52">
        <f t="shared" si="1"/>
        <v>1.14072E+38</v>
      </c>
      <c r="L202" s="31"/>
      <c r="T202" s="42"/>
    </row>
    <row r="203">
      <c r="G203" s="51">
        <v>194.0</v>
      </c>
      <c r="H203" s="52">
        <f t="shared" si="1"/>
        <v>1.89724E+38</v>
      </c>
      <c r="L203" s="31"/>
      <c r="T203" s="42"/>
    </row>
    <row r="204">
      <c r="G204" s="51">
        <v>195.0</v>
      </c>
      <c r="H204" s="52">
        <f t="shared" si="1"/>
        <v>3.15549E+38</v>
      </c>
      <c r="L204" s="31"/>
      <c r="T204" s="42"/>
    </row>
    <row r="205">
      <c r="G205" s="51">
        <v>196.0</v>
      </c>
      <c r="H205" s="52">
        <f t="shared" si="1"/>
        <v>5.2482E+38</v>
      </c>
      <c r="L205" s="31"/>
      <c r="T205" s="42"/>
    </row>
    <row r="206">
      <c r="G206" s="51">
        <v>197.0</v>
      </c>
      <c r="H206" s="52">
        <f t="shared" si="1"/>
        <v>8.72881E+38</v>
      </c>
      <c r="L206" s="31"/>
      <c r="T206" s="42"/>
    </row>
    <row r="207">
      <c r="G207" s="51">
        <v>198.0</v>
      </c>
      <c r="H207" s="52">
        <f t="shared" si="1"/>
        <v>1.45178E+39</v>
      </c>
      <c r="L207" s="31"/>
      <c r="T207" s="42"/>
    </row>
    <row r="208">
      <c r="G208" s="51">
        <v>199.0</v>
      </c>
      <c r="H208" s="52">
        <f t="shared" si="1"/>
        <v>2.41459E+39</v>
      </c>
      <c r="L208" s="31"/>
      <c r="T208" s="42"/>
    </row>
    <row r="209">
      <c r="G209" s="51">
        <v>200.0</v>
      </c>
      <c r="H209" s="52">
        <f t="shared" si="1"/>
        <v>4.01595E+39</v>
      </c>
      <c r="L209" s="31"/>
      <c r="T209" s="42"/>
    </row>
    <row r="210">
      <c r="G210" s="51">
        <v>201.0</v>
      </c>
      <c r="H210" s="52">
        <f t="shared" si="1"/>
        <v>6.67933E+39</v>
      </c>
      <c r="L210" s="31"/>
      <c r="T210" s="42"/>
    </row>
    <row r="211">
      <c r="G211" s="51">
        <v>202.0</v>
      </c>
      <c r="H211" s="52">
        <f t="shared" si="1"/>
        <v>1.11091E+40</v>
      </c>
      <c r="L211" s="31"/>
      <c r="T211" s="42"/>
    </row>
    <row r="212">
      <c r="G212" s="51">
        <v>203.0</v>
      </c>
      <c r="H212" s="52">
        <f t="shared" si="1"/>
        <v>1.84766E+40</v>
      </c>
      <c r="L212" s="31"/>
      <c r="T212" s="42"/>
    </row>
    <row r="213">
      <c r="G213" s="51">
        <v>204.0</v>
      </c>
      <c r="H213" s="52">
        <f t="shared" si="1"/>
        <v>3.07303E+40</v>
      </c>
      <c r="L213" s="31"/>
      <c r="T213" s="42"/>
    </row>
    <row r="214">
      <c r="G214" s="51">
        <v>205.0</v>
      </c>
      <c r="H214" s="52">
        <f t="shared" si="1"/>
        <v>5.11106E+40</v>
      </c>
      <c r="L214" s="31"/>
      <c r="T214" s="42"/>
    </row>
    <row r="215">
      <c r="G215" s="51">
        <v>206.0</v>
      </c>
      <c r="H215" s="52">
        <f t="shared" si="1"/>
        <v>8.50072E+40</v>
      </c>
      <c r="L215" s="31"/>
      <c r="T215" s="42"/>
    </row>
    <row r="216">
      <c r="G216" s="51">
        <v>207.0</v>
      </c>
      <c r="H216" s="52">
        <f t="shared" si="1"/>
        <v>1.41384E+41</v>
      </c>
      <c r="L216" s="31"/>
      <c r="T216" s="42"/>
    </row>
    <row r="217">
      <c r="G217" s="51">
        <v>208.0</v>
      </c>
      <c r="H217" s="52">
        <f t="shared" si="1"/>
        <v>2.3515E+41</v>
      </c>
      <c r="L217" s="31"/>
      <c r="T217" s="42"/>
    </row>
    <row r="218">
      <c r="G218" s="51">
        <v>209.0</v>
      </c>
      <c r="H218" s="52">
        <f t="shared" si="1"/>
        <v>3.91101E+41</v>
      </c>
      <c r="L218" s="31"/>
      <c r="T218" s="42"/>
    </row>
    <row r="219">
      <c r="G219" s="51">
        <v>210.0</v>
      </c>
      <c r="H219" s="52">
        <f t="shared" si="1"/>
        <v>6.50479E+41</v>
      </c>
      <c r="L219" s="31"/>
      <c r="T219" s="42"/>
    </row>
    <row r="220">
      <c r="G220" s="51">
        <v>211.0</v>
      </c>
      <c r="H220" s="52">
        <f t="shared" si="1"/>
        <v>1.08188E+42</v>
      </c>
      <c r="L220" s="31"/>
      <c r="T220" s="42"/>
    </row>
    <row r="221">
      <c r="G221" s="51">
        <v>212.0</v>
      </c>
      <c r="H221" s="52">
        <f t="shared" si="1"/>
        <v>1.79938E+42</v>
      </c>
      <c r="L221" s="31"/>
      <c r="T221" s="42"/>
    </row>
    <row r="222">
      <c r="G222" s="51">
        <v>213.0</v>
      </c>
      <c r="H222" s="52">
        <f t="shared" si="1"/>
        <v>2.99272E+42</v>
      </c>
      <c r="L222" s="31"/>
      <c r="T222" s="42"/>
    </row>
    <row r="223">
      <c r="G223" s="51">
        <v>214.0</v>
      </c>
      <c r="H223" s="52">
        <f t="shared" si="1"/>
        <v>4.9775E+42</v>
      </c>
      <c r="L223" s="31"/>
      <c r="T223" s="42"/>
    </row>
    <row r="224">
      <c r="G224" s="51">
        <v>215.0</v>
      </c>
      <c r="H224" s="52">
        <f t="shared" si="1"/>
        <v>8.27858E+42</v>
      </c>
      <c r="L224" s="31"/>
      <c r="T224" s="42"/>
    </row>
    <row r="225">
      <c r="G225" s="51">
        <v>216.0</v>
      </c>
      <c r="H225" s="52">
        <f t="shared" si="1"/>
        <v>1.37689E+43</v>
      </c>
      <c r="L225" s="31"/>
      <c r="T225" s="42"/>
    </row>
    <row r="226">
      <c r="G226" s="51">
        <v>217.0</v>
      </c>
      <c r="H226" s="52">
        <f t="shared" si="1"/>
        <v>2.29005E+43</v>
      </c>
      <c r="L226" s="31"/>
      <c r="T226" s="42"/>
    </row>
    <row r="227">
      <c r="G227" s="51">
        <v>218.0</v>
      </c>
      <c r="H227" s="52">
        <f t="shared" si="1"/>
        <v>3.80881E+43</v>
      </c>
      <c r="L227" s="31"/>
      <c r="T227" s="42"/>
    </row>
    <row r="228">
      <c r="G228" s="51">
        <v>219.0</v>
      </c>
      <c r="H228" s="52">
        <f t="shared" si="1"/>
        <v>6.33481E+43</v>
      </c>
      <c r="L228" s="31"/>
      <c r="T228" s="42"/>
    </row>
    <row r="229">
      <c r="G229" s="51">
        <v>220.0</v>
      </c>
      <c r="H229" s="52">
        <f t="shared" si="1"/>
        <v>1.05361E+44</v>
      </c>
      <c r="L229" s="31"/>
      <c r="T229" s="42"/>
    </row>
    <row r="230">
      <c r="G230" s="51">
        <v>221.0</v>
      </c>
      <c r="H230" s="52">
        <f t="shared" si="1"/>
        <v>1.75236E+44</v>
      </c>
      <c r="L230" s="31"/>
      <c r="T230" s="42"/>
    </row>
    <row r="231">
      <c r="G231" s="51">
        <v>222.0</v>
      </c>
      <c r="H231" s="52">
        <f t="shared" si="1"/>
        <v>2.91452E+44</v>
      </c>
      <c r="L231" s="31"/>
      <c r="T231" s="42"/>
    </row>
    <row r="232">
      <c r="G232" s="51">
        <v>223.0</v>
      </c>
      <c r="H232" s="52">
        <f t="shared" si="1"/>
        <v>4.84743E+44</v>
      </c>
      <c r="L232" s="31"/>
      <c r="T232" s="42"/>
    </row>
    <row r="233">
      <c r="G233" s="51">
        <v>224.0</v>
      </c>
      <c r="H233" s="52">
        <f t="shared" si="1"/>
        <v>8.06225E+44</v>
      </c>
      <c r="L233" s="31"/>
      <c r="T233" s="42"/>
    </row>
    <row r="234">
      <c r="G234" s="51">
        <v>225.0</v>
      </c>
      <c r="H234" s="52">
        <f t="shared" si="1"/>
        <v>1.34091E+45</v>
      </c>
      <c r="L234" s="31"/>
      <c r="T234" s="42"/>
    </row>
    <row r="235">
      <c r="G235" s="51">
        <v>226.0</v>
      </c>
      <c r="H235" s="52">
        <f t="shared" si="1"/>
        <v>2.23021E+45</v>
      </c>
      <c r="L235" s="31"/>
      <c r="T235" s="42"/>
    </row>
    <row r="236">
      <c r="G236" s="51">
        <v>227.0</v>
      </c>
      <c r="H236" s="52">
        <f t="shared" si="1"/>
        <v>3.70928E+45</v>
      </c>
      <c r="L236" s="31"/>
      <c r="T236" s="42"/>
    </row>
    <row r="237">
      <c r="G237" s="51">
        <v>228.0</v>
      </c>
      <c r="H237" s="52">
        <f t="shared" si="1"/>
        <v>6.16927E+45</v>
      </c>
      <c r="L237" s="31"/>
      <c r="T237" s="42"/>
    </row>
    <row r="238">
      <c r="G238" s="51">
        <v>229.0</v>
      </c>
      <c r="H238" s="52">
        <f t="shared" si="1"/>
        <v>1.02607E+46</v>
      </c>
      <c r="L238" s="31"/>
      <c r="T238" s="42"/>
    </row>
    <row r="239">
      <c r="G239" s="51">
        <v>230.0</v>
      </c>
      <c r="H239" s="52">
        <f t="shared" si="1"/>
        <v>1.70657E+46</v>
      </c>
      <c r="L239" s="31"/>
      <c r="T239" s="42"/>
    </row>
    <row r="240">
      <c r="G240" s="51">
        <v>231.0</v>
      </c>
      <c r="H240" s="52">
        <f t="shared" si="1"/>
        <v>2.83836E+46</v>
      </c>
      <c r="L240" s="31"/>
      <c r="T240" s="42"/>
    </row>
    <row r="241">
      <c r="G241" s="51">
        <v>232.0</v>
      </c>
      <c r="H241" s="52">
        <f t="shared" si="1"/>
        <v>4.72076E+46</v>
      </c>
      <c r="L241" s="31"/>
      <c r="T241" s="42"/>
    </row>
    <row r="242">
      <c r="G242" s="51">
        <v>233.0</v>
      </c>
      <c r="H242" s="52">
        <f t="shared" si="1"/>
        <v>7.85157E+46</v>
      </c>
      <c r="L242" s="31"/>
      <c r="T242" s="42"/>
    </row>
    <row r="243">
      <c r="G243" s="51">
        <v>234.0</v>
      </c>
      <c r="H243" s="52">
        <f t="shared" si="1"/>
        <v>1.30587E+47</v>
      </c>
      <c r="L243" s="31"/>
      <c r="T243" s="42"/>
    </row>
    <row r="244">
      <c r="G244" s="51">
        <v>235.0</v>
      </c>
      <c r="H244" s="52">
        <f t="shared" si="1"/>
        <v>2.17193E+47</v>
      </c>
      <c r="L244" s="31"/>
      <c r="T244" s="42"/>
    </row>
    <row r="245">
      <c r="G245" s="51">
        <v>236.0</v>
      </c>
      <c r="H245" s="52">
        <f t="shared" si="1"/>
        <v>3.61235E+47</v>
      </c>
      <c r="L245" s="31"/>
      <c r="T245" s="42"/>
    </row>
    <row r="246">
      <c r="G246" s="51">
        <v>237.0</v>
      </c>
      <c r="H246" s="52">
        <f t="shared" si="1"/>
        <v>6.00806E+47</v>
      </c>
      <c r="L246" s="31"/>
      <c r="T246" s="42"/>
    </row>
    <row r="247">
      <c r="G247" s="51">
        <v>238.0</v>
      </c>
      <c r="H247" s="52">
        <f t="shared" si="1"/>
        <v>9.9926E+47</v>
      </c>
      <c r="L247" s="31"/>
      <c r="T247" s="42"/>
    </row>
    <row r="248">
      <c r="G248" s="51">
        <v>239.0</v>
      </c>
      <c r="H248" s="52">
        <f t="shared" si="1"/>
        <v>1.66197E+48</v>
      </c>
      <c r="L248" s="31"/>
      <c r="T248" s="42"/>
    </row>
    <row r="249">
      <c r="G249" s="51">
        <v>240.0</v>
      </c>
      <c r="H249" s="52">
        <f t="shared" si="1"/>
        <v>2.76419E+48</v>
      </c>
      <c r="L249" s="31"/>
      <c r="T249" s="42"/>
    </row>
    <row r="250">
      <c r="G250" s="51">
        <v>241.0</v>
      </c>
      <c r="H250" s="52">
        <f t="shared" si="1"/>
        <v>4.5974E+48</v>
      </c>
      <c r="L250" s="31"/>
      <c r="T250" s="42"/>
    </row>
    <row r="251">
      <c r="G251" s="51">
        <v>242.0</v>
      </c>
      <c r="H251" s="52">
        <f t="shared" si="1"/>
        <v>7.64639E+48</v>
      </c>
      <c r="L251" s="31"/>
      <c r="T251" s="42"/>
    </row>
    <row r="252">
      <c r="G252" s="51">
        <v>243.0</v>
      </c>
      <c r="H252" s="52">
        <f t="shared" si="1"/>
        <v>1.27175E+49</v>
      </c>
      <c r="L252" s="31"/>
      <c r="T252" s="42"/>
    </row>
    <row r="253">
      <c r="G253" s="51">
        <v>244.0</v>
      </c>
      <c r="H253" s="52">
        <f t="shared" si="1"/>
        <v>2.11517E+49</v>
      </c>
      <c r="L253" s="31"/>
      <c r="T253" s="42"/>
    </row>
    <row r="254">
      <c r="G254" s="51">
        <v>245.0</v>
      </c>
      <c r="H254" s="52">
        <f t="shared" si="1"/>
        <v>3.51795E+49</v>
      </c>
      <c r="L254" s="31"/>
      <c r="T254" s="42"/>
    </row>
    <row r="255">
      <c r="G255" s="51">
        <v>246.0</v>
      </c>
      <c r="H255" s="52">
        <f t="shared" si="1"/>
        <v>5.85106E+49</v>
      </c>
      <c r="L255" s="31"/>
      <c r="T255" s="42"/>
    </row>
    <row r="256">
      <c r="G256" s="51">
        <v>247.0</v>
      </c>
      <c r="H256" s="52">
        <f t="shared" si="1"/>
        <v>9.73148E+49</v>
      </c>
      <c r="L256" s="31"/>
      <c r="T256" s="42"/>
    </row>
    <row r="257">
      <c r="G257" s="51">
        <v>248.0</v>
      </c>
      <c r="H257" s="52">
        <f t="shared" si="1"/>
        <v>1.61854E+50</v>
      </c>
      <c r="L257" s="31"/>
      <c r="T257" s="42"/>
    </row>
    <row r="258">
      <c r="G258" s="51">
        <v>249.0</v>
      </c>
      <c r="H258" s="52">
        <f t="shared" si="1"/>
        <v>2.69196E+50</v>
      </c>
      <c r="L258" s="31"/>
      <c r="T258" s="42"/>
    </row>
    <row r="259">
      <c r="G259" s="51">
        <v>250.0</v>
      </c>
      <c r="H259" s="52">
        <f t="shared" si="1"/>
        <v>4.47726E+50</v>
      </c>
      <c r="L259" s="31"/>
      <c r="T259" s="42"/>
    </row>
    <row r="260">
      <c r="G260" s="51">
        <v>251.0</v>
      </c>
      <c r="H260" s="52">
        <f t="shared" si="1"/>
        <v>7.44658E+50</v>
      </c>
      <c r="L260" s="31"/>
      <c r="T260" s="42"/>
    </row>
    <row r="261">
      <c r="G261" s="51">
        <v>252.0</v>
      </c>
      <c r="H261" s="52">
        <f t="shared" si="1"/>
        <v>1.23852E+51</v>
      </c>
      <c r="L261" s="31"/>
      <c r="T261" s="42"/>
    </row>
    <row r="262">
      <c r="G262" s="51">
        <v>253.0</v>
      </c>
      <c r="H262" s="52">
        <f t="shared" si="1"/>
        <v>2.0599E+51</v>
      </c>
      <c r="L262" s="31"/>
      <c r="T262" s="42"/>
    </row>
    <row r="263">
      <c r="G263" s="51">
        <v>254.0</v>
      </c>
      <c r="H263" s="52">
        <f t="shared" si="1"/>
        <v>3.42602E+51</v>
      </c>
      <c r="L263" s="31"/>
      <c r="T263" s="42"/>
    </row>
    <row r="264">
      <c r="G264" s="51">
        <v>255.0</v>
      </c>
      <c r="H264" s="52">
        <f t="shared" si="1"/>
        <v>5.69816E+51</v>
      </c>
      <c r="L264" s="31"/>
      <c r="T264" s="42"/>
    </row>
    <row r="265">
      <c r="G265" s="51">
        <v>256.0</v>
      </c>
      <c r="H265" s="52">
        <f t="shared" si="1"/>
        <v>9.47718E+51</v>
      </c>
      <c r="L265" s="31"/>
      <c r="T265" s="42"/>
    </row>
    <row r="266">
      <c r="G266" s="51">
        <v>257.0</v>
      </c>
      <c r="H266" s="52">
        <f t="shared" si="1"/>
        <v>1.57625E+52</v>
      </c>
      <c r="L266" s="31"/>
      <c r="T266" s="42"/>
    </row>
    <row r="267">
      <c r="G267" s="51">
        <v>258.0</v>
      </c>
      <c r="H267" s="52">
        <f t="shared" si="1"/>
        <v>2.62161E+52</v>
      </c>
      <c r="L267" s="31"/>
      <c r="T267" s="42"/>
    </row>
    <row r="268">
      <c r="G268" s="51">
        <v>259.0</v>
      </c>
      <c r="H268" s="52">
        <f t="shared" si="1"/>
        <v>4.36026E+52</v>
      </c>
      <c r="L268" s="31"/>
      <c r="T268" s="42"/>
    </row>
    <row r="269">
      <c r="G269" s="51">
        <v>260.0</v>
      </c>
      <c r="H269" s="52">
        <f t="shared" si="1"/>
        <v>7.25199E+52</v>
      </c>
      <c r="L269" s="31"/>
      <c r="T269" s="42"/>
    </row>
    <row r="270">
      <c r="G270" s="51">
        <v>261.0</v>
      </c>
      <c r="H270" s="52">
        <f t="shared" si="1"/>
        <v>1.20615E+53</v>
      </c>
      <c r="L270" s="31"/>
      <c r="T270" s="42"/>
    </row>
    <row r="271">
      <c r="G271" s="51">
        <v>262.0</v>
      </c>
      <c r="H271" s="52">
        <f t="shared" si="1"/>
        <v>2.00607E+53</v>
      </c>
      <c r="L271" s="31"/>
      <c r="T271" s="42"/>
    </row>
    <row r="272">
      <c r="G272" s="51">
        <v>263.0</v>
      </c>
      <c r="H272" s="52">
        <f t="shared" si="1"/>
        <v>3.3365E+53</v>
      </c>
      <c r="L272" s="31"/>
      <c r="T272" s="42"/>
    </row>
    <row r="273">
      <c r="G273" s="51">
        <v>264.0</v>
      </c>
      <c r="H273" s="52">
        <f t="shared" si="1"/>
        <v>5.54926E+53</v>
      </c>
      <c r="L273" s="31"/>
      <c r="T273" s="42"/>
    </row>
    <row r="274">
      <c r="G274" s="51">
        <v>265.0</v>
      </c>
      <c r="H274" s="52">
        <f t="shared" si="1"/>
        <v>9.22953E+53</v>
      </c>
      <c r="L274" s="31"/>
      <c r="T274" s="42"/>
    </row>
    <row r="275">
      <c r="G275" s="51">
        <v>266.0</v>
      </c>
      <c r="H275" s="52">
        <f t="shared" si="1"/>
        <v>1.53506E+54</v>
      </c>
      <c r="L275" s="31"/>
      <c r="T275" s="42"/>
    </row>
    <row r="276">
      <c r="G276" s="51">
        <v>267.0</v>
      </c>
      <c r="H276" s="52">
        <f t="shared" si="1"/>
        <v>2.5531E+54</v>
      </c>
      <c r="L276" s="31"/>
      <c r="T276" s="42"/>
    </row>
    <row r="277">
      <c r="G277" s="51">
        <v>268.0</v>
      </c>
      <c r="H277" s="52">
        <f t="shared" si="1"/>
        <v>4.24632E+54</v>
      </c>
      <c r="L277" s="31"/>
      <c r="T277" s="42"/>
    </row>
    <row r="278">
      <c r="G278" s="51">
        <v>269.0</v>
      </c>
      <c r="H278" s="52">
        <f t="shared" si="1"/>
        <v>7.06248E+54</v>
      </c>
      <c r="L278" s="31"/>
      <c r="T278" s="42"/>
    </row>
    <row r="279">
      <c r="G279" s="51">
        <v>270.0</v>
      </c>
      <c r="H279" s="52">
        <f t="shared" si="1"/>
        <v>1.17463E+55</v>
      </c>
      <c r="L279" s="31"/>
      <c r="T279" s="42"/>
    </row>
    <row r="280">
      <c r="G280" s="51">
        <v>271.0</v>
      </c>
      <c r="H280" s="52">
        <f t="shared" si="1"/>
        <v>1.95365E+55</v>
      </c>
      <c r="L280" s="31"/>
      <c r="T280" s="42"/>
    </row>
    <row r="281">
      <c r="G281" s="51">
        <v>272.0</v>
      </c>
      <c r="H281" s="52">
        <f t="shared" si="1"/>
        <v>3.24931E+55</v>
      </c>
      <c r="L281" s="31"/>
      <c r="T281" s="42"/>
    </row>
    <row r="282">
      <c r="G282" s="51">
        <v>273.0</v>
      </c>
      <c r="H282" s="52">
        <f t="shared" si="1"/>
        <v>5.40425E+55</v>
      </c>
      <c r="L282" s="31"/>
      <c r="T282" s="42"/>
    </row>
    <row r="283">
      <c r="G283" s="51">
        <v>274.0</v>
      </c>
      <c r="H283" s="52">
        <f t="shared" si="1"/>
        <v>8.98835E+55</v>
      </c>
      <c r="L283" s="31"/>
      <c r="T283" s="42"/>
    </row>
    <row r="284">
      <c r="G284" s="51">
        <v>275.0</v>
      </c>
      <c r="H284" s="52">
        <f t="shared" si="1"/>
        <v>1.49494E+56</v>
      </c>
      <c r="L284" s="31"/>
      <c r="T284" s="42"/>
    </row>
    <row r="285">
      <c r="G285" s="51">
        <v>276.0</v>
      </c>
      <c r="H285" s="52">
        <f t="shared" si="1"/>
        <v>2.48639E+56</v>
      </c>
      <c r="L285" s="31"/>
      <c r="T285" s="42"/>
    </row>
    <row r="286">
      <c r="G286" s="51">
        <v>277.0</v>
      </c>
      <c r="H286" s="52">
        <f t="shared" si="1"/>
        <v>4.13536E+56</v>
      </c>
      <c r="L286" s="31"/>
      <c r="T286" s="42"/>
    </row>
    <row r="287">
      <c r="G287" s="51">
        <v>278.0</v>
      </c>
      <c r="H287" s="52">
        <f t="shared" si="1"/>
        <v>6.87793E+56</v>
      </c>
      <c r="L287" s="31"/>
      <c r="T287" s="42"/>
    </row>
    <row r="288">
      <c r="G288" s="51">
        <v>279.0</v>
      </c>
      <c r="H288" s="52">
        <f t="shared" si="1"/>
        <v>1.14394E+57</v>
      </c>
      <c r="L288" s="31"/>
      <c r="T288" s="42"/>
    </row>
    <row r="289">
      <c r="G289" s="51">
        <v>280.0</v>
      </c>
      <c r="H289" s="52">
        <f t="shared" si="1"/>
        <v>1.9026E+57</v>
      </c>
      <c r="L289" s="31"/>
      <c r="T289" s="42"/>
    </row>
    <row r="290">
      <c r="G290" s="51">
        <v>281.0</v>
      </c>
      <c r="H290" s="52">
        <f t="shared" si="1"/>
        <v>3.1644E+57</v>
      </c>
      <c r="L290" s="31"/>
      <c r="T290" s="42"/>
    </row>
    <row r="291">
      <c r="G291" s="51">
        <v>282.0</v>
      </c>
      <c r="H291" s="52">
        <f t="shared" si="1"/>
        <v>5.26303E+57</v>
      </c>
      <c r="L291" s="31"/>
      <c r="T291" s="42"/>
    </row>
    <row r="292">
      <c r="G292" s="51">
        <v>283.0</v>
      </c>
      <c r="H292" s="52">
        <f t="shared" si="1"/>
        <v>8.75347E+57</v>
      </c>
      <c r="L292" s="31"/>
      <c r="T292" s="42"/>
    </row>
    <row r="293">
      <c r="G293" s="51">
        <v>284.0</v>
      </c>
      <c r="H293" s="52">
        <f t="shared" si="1"/>
        <v>1.45588E+58</v>
      </c>
      <c r="L293" s="31"/>
      <c r="T293" s="42"/>
    </row>
    <row r="294">
      <c r="G294" s="51">
        <v>285.0</v>
      </c>
      <c r="H294" s="52">
        <f t="shared" si="1"/>
        <v>2.42141E+58</v>
      </c>
      <c r="L294" s="31"/>
      <c r="T294" s="42"/>
    </row>
    <row r="295">
      <c r="G295" s="51">
        <v>286.0</v>
      </c>
      <c r="H295" s="52">
        <f t="shared" si="1"/>
        <v>4.0273E+58</v>
      </c>
      <c r="L295" s="31"/>
      <c r="T295" s="42"/>
    </row>
    <row r="296">
      <c r="G296" s="51">
        <v>287.0</v>
      </c>
      <c r="H296" s="52">
        <f t="shared" si="1"/>
        <v>6.6982E+58</v>
      </c>
      <c r="L296" s="31"/>
      <c r="T296" s="42"/>
    </row>
    <row r="297">
      <c r="G297" s="51">
        <v>288.0</v>
      </c>
      <c r="H297" s="52">
        <f t="shared" si="1"/>
        <v>1.11404E+59</v>
      </c>
      <c r="L297" s="31"/>
      <c r="T297" s="42"/>
    </row>
    <row r="298">
      <c r="G298" s="51">
        <v>289.0</v>
      </c>
      <c r="H298" s="52">
        <f t="shared" si="1"/>
        <v>1.85288E+59</v>
      </c>
      <c r="L298" s="31"/>
      <c r="T298" s="42"/>
    </row>
    <row r="299">
      <c r="G299" s="51">
        <v>290.0</v>
      </c>
      <c r="H299" s="52">
        <f t="shared" si="1"/>
        <v>3.08171E+59</v>
      </c>
      <c r="L299" s="31"/>
      <c r="T299" s="42"/>
    </row>
    <row r="300">
      <c r="G300" s="51">
        <v>291.0</v>
      </c>
      <c r="H300" s="52">
        <f t="shared" si="1"/>
        <v>5.1255E+59</v>
      </c>
      <c r="L300" s="31"/>
      <c r="T300" s="42"/>
    </row>
    <row r="301">
      <c r="G301" s="51">
        <v>292.0</v>
      </c>
      <c r="H301" s="52">
        <f t="shared" si="1"/>
        <v>8.52473E+59</v>
      </c>
      <c r="L301" s="31"/>
      <c r="T301" s="42"/>
    </row>
    <row r="302">
      <c r="G302" s="51">
        <v>293.0</v>
      </c>
      <c r="H302" s="52">
        <f t="shared" si="1"/>
        <v>1.41783E+60</v>
      </c>
      <c r="L302" s="31"/>
      <c r="T302" s="42"/>
    </row>
    <row r="303">
      <c r="G303" s="51">
        <v>294.0</v>
      </c>
      <c r="H303" s="52">
        <f t="shared" si="1"/>
        <v>2.35814E+60</v>
      </c>
      <c r="L303" s="31"/>
      <c r="T303" s="42"/>
    </row>
    <row r="304">
      <c r="G304" s="51">
        <v>295.0</v>
      </c>
      <c r="H304" s="52">
        <f t="shared" si="1"/>
        <v>3.92206E+60</v>
      </c>
      <c r="L304" s="31"/>
      <c r="T304" s="42"/>
    </row>
    <row r="305">
      <c r="G305" s="51">
        <v>296.0</v>
      </c>
      <c r="H305" s="52">
        <f t="shared" si="1"/>
        <v>6.52316E+60</v>
      </c>
      <c r="L305" s="31"/>
      <c r="T305" s="42"/>
    </row>
    <row r="306">
      <c r="G306" s="51">
        <v>297.0</v>
      </c>
      <c r="H306" s="52">
        <f t="shared" si="1"/>
        <v>1.08493E+61</v>
      </c>
      <c r="L306" s="31"/>
      <c r="T306" s="42"/>
    </row>
    <row r="307">
      <c r="G307" s="51">
        <v>298.0</v>
      </c>
      <c r="H307" s="52">
        <f t="shared" si="1"/>
        <v>1.80446E+61</v>
      </c>
      <c r="L307" s="31"/>
      <c r="T307" s="42"/>
    </row>
    <row r="308">
      <c r="G308" s="51">
        <v>299.0</v>
      </c>
      <c r="H308" s="52">
        <f t="shared" si="1"/>
        <v>3.00118E+61</v>
      </c>
      <c r="L308" s="31"/>
      <c r="T308" s="42"/>
    </row>
    <row r="309">
      <c r="G309" s="51">
        <v>300.0</v>
      </c>
      <c r="H309" s="52">
        <f t="shared" si="1"/>
        <v>4.99156E+61</v>
      </c>
      <c r="L309" s="31"/>
      <c r="T309" s="42"/>
    </row>
    <row r="310">
      <c r="G310" s="51">
        <v>301.0</v>
      </c>
      <c r="H310" s="52">
        <f t="shared" si="1"/>
        <v>8.30196E+61</v>
      </c>
      <c r="L310" s="31"/>
      <c r="T310" s="42"/>
    </row>
    <row r="311">
      <c r="G311" s="51">
        <v>302.0</v>
      </c>
      <c r="H311" s="52">
        <f t="shared" si="1"/>
        <v>1.38078E+62</v>
      </c>
      <c r="L311" s="31"/>
      <c r="T311" s="42"/>
    </row>
    <row r="312">
      <c r="G312" s="51">
        <v>303.0</v>
      </c>
      <c r="H312" s="52">
        <f t="shared" si="1"/>
        <v>2.29652E+62</v>
      </c>
      <c r="L312" s="31"/>
      <c r="T312" s="42"/>
    </row>
    <row r="313">
      <c r="G313" s="51">
        <v>304.0</v>
      </c>
      <c r="H313" s="52">
        <f t="shared" si="1"/>
        <v>3.81957E+62</v>
      </c>
      <c r="L313" s="31"/>
      <c r="T313" s="42"/>
    </row>
    <row r="314">
      <c r="G314" s="51">
        <v>305.0</v>
      </c>
      <c r="H314" s="52">
        <f t="shared" si="1"/>
        <v>6.3527E+62</v>
      </c>
      <c r="L314" s="31"/>
      <c r="T314" s="42"/>
    </row>
    <row r="315">
      <c r="G315" s="51">
        <v>306.0</v>
      </c>
      <c r="H315" s="52">
        <f t="shared" si="1"/>
        <v>1.05658E+63</v>
      </c>
      <c r="L315" s="31"/>
      <c r="T315" s="42"/>
    </row>
    <row r="316">
      <c r="G316" s="51">
        <v>307.0</v>
      </c>
      <c r="H316" s="52">
        <f t="shared" si="1"/>
        <v>1.75731E+63</v>
      </c>
      <c r="L316" s="31"/>
      <c r="T316" s="42"/>
    </row>
    <row r="317">
      <c r="G317" s="51">
        <v>308.0</v>
      </c>
      <c r="H317" s="52">
        <f t="shared" si="1"/>
        <v>2.92275E+63</v>
      </c>
      <c r="L317" s="31"/>
      <c r="T317" s="42"/>
    </row>
    <row r="318">
      <c r="G318" s="51">
        <v>309.0</v>
      </c>
      <c r="H318" s="52">
        <f t="shared" si="1"/>
        <v>4.86112E+63</v>
      </c>
      <c r="L318" s="31"/>
      <c r="T318" s="42"/>
    </row>
    <row r="319">
      <c r="G319" s="51">
        <v>310.0</v>
      </c>
      <c r="H319" s="52">
        <f t="shared" si="1"/>
        <v>8.08502E+63</v>
      </c>
      <c r="L319" s="31"/>
      <c r="T319" s="42"/>
    </row>
    <row r="320">
      <c r="G320" s="51">
        <v>311.0</v>
      </c>
      <c r="H320" s="52">
        <f t="shared" si="1"/>
        <v>1.3447E+64</v>
      </c>
      <c r="L320" s="31"/>
      <c r="T320" s="42"/>
    </row>
    <row r="321">
      <c r="G321" s="51">
        <v>312.0</v>
      </c>
      <c r="H321" s="52">
        <f t="shared" si="1"/>
        <v>2.23651E+64</v>
      </c>
      <c r="L321" s="31"/>
      <c r="T321" s="42"/>
    </row>
    <row r="322">
      <c r="G322" s="51">
        <v>313.0</v>
      </c>
      <c r="H322" s="52">
        <f t="shared" si="1"/>
        <v>3.71976E+64</v>
      </c>
      <c r="L322" s="31"/>
      <c r="T322" s="42"/>
    </row>
    <row r="323">
      <c r="G323" s="51">
        <v>314.0</v>
      </c>
      <c r="H323" s="52">
        <f t="shared" si="1"/>
        <v>6.1867E+64</v>
      </c>
      <c r="L323" s="31"/>
      <c r="T323" s="42"/>
    </row>
    <row r="324">
      <c r="G324" s="51">
        <v>315.0</v>
      </c>
      <c r="H324" s="52">
        <f t="shared" si="1"/>
        <v>1.02897E+65</v>
      </c>
      <c r="L324" s="31"/>
      <c r="T324" s="42"/>
    </row>
    <row r="325">
      <c r="G325" s="51">
        <v>316.0</v>
      </c>
      <c r="H325" s="52">
        <f t="shared" si="1"/>
        <v>1.71139E+65</v>
      </c>
      <c r="L325" s="31"/>
      <c r="T325" s="42"/>
    </row>
    <row r="326">
      <c r="G326" s="51">
        <v>317.0</v>
      </c>
      <c r="H326" s="52">
        <f t="shared" si="1"/>
        <v>2.84638E+65</v>
      </c>
      <c r="L326" s="31"/>
      <c r="T326" s="42"/>
    </row>
    <row r="327">
      <c r="G327" s="51">
        <v>318.0</v>
      </c>
      <c r="H327" s="52">
        <f t="shared" si="1"/>
        <v>4.73409E+65</v>
      </c>
      <c r="L327" s="31"/>
      <c r="T327" s="42"/>
    </row>
    <row r="328">
      <c r="G328" s="51">
        <v>319.0</v>
      </c>
      <c r="H328" s="52">
        <f t="shared" si="1"/>
        <v>7.87374E+65</v>
      </c>
      <c r="L328" s="31"/>
      <c r="T328" s="42"/>
    </row>
    <row r="329">
      <c r="G329" s="51">
        <v>320.0</v>
      </c>
      <c r="H329" s="52">
        <f t="shared" si="1"/>
        <v>1.30956E+66</v>
      </c>
      <c r="L329" s="31"/>
      <c r="T329" s="42"/>
    </row>
    <row r="330">
      <c r="G330" s="51">
        <v>321.0</v>
      </c>
      <c r="H330" s="52">
        <f t="shared" si="1"/>
        <v>2.17806E+66</v>
      </c>
      <c r="L330" s="31"/>
      <c r="T330" s="42"/>
    </row>
    <row r="331">
      <c r="G331" s="51">
        <v>322.0</v>
      </c>
      <c r="H331" s="52">
        <f t="shared" si="1"/>
        <v>3.62255E+66</v>
      </c>
      <c r="L331" s="31"/>
      <c r="T331" s="42"/>
    </row>
    <row r="332">
      <c r="G332" s="51">
        <v>323.0</v>
      </c>
      <c r="H332" s="52">
        <f t="shared" si="1"/>
        <v>6.02503E+66</v>
      </c>
      <c r="L332" s="31"/>
      <c r="T332" s="42"/>
    </row>
    <row r="333">
      <c r="G333" s="51">
        <v>324.0</v>
      </c>
      <c r="H333" s="52">
        <f t="shared" si="1"/>
        <v>1.00208E+67</v>
      </c>
      <c r="L333" s="31"/>
      <c r="T333" s="42"/>
    </row>
    <row r="334">
      <c r="G334" s="51">
        <v>325.0</v>
      </c>
      <c r="H334" s="52">
        <f t="shared" si="1"/>
        <v>1.66666E+67</v>
      </c>
      <c r="L334" s="31"/>
      <c r="T334" s="42"/>
    </row>
    <row r="335">
      <c r="G335" s="51">
        <v>326.0</v>
      </c>
      <c r="H335" s="52">
        <f t="shared" si="1"/>
        <v>2.772E+67</v>
      </c>
      <c r="L335" s="31"/>
      <c r="T335" s="42"/>
    </row>
    <row r="336">
      <c r="G336" s="51">
        <v>327.0</v>
      </c>
      <c r="H336" s="52">
        <f t="shared" si="1"/>
        <v>4.61038E+67</v>
      </c>
      <c r="L336" s="31"/>
      <c r="T336" s="42"/>
    </row>
    <row r="337">
      <c r="G337" s="51">
        <v>328.0</v>
      </c>
      <c r="H337" s="52">
        <f t="shared" si="1"/>
        <v>7.66799E+67</v>
      </c>
      <c r="L337" s="31"/>
      <c r="T337" s="42"/>
    </row>
    <row r="338">
      <c r="G338" s="51">
        <v>329.0</v>
      </c>
      <c r="H338" s="52">
        <f t="shared" si="1"/>
        <v>1.27534E+68</v>
      </c>
      <c r="L338" s="31"/>
      <c r="T338" s="42"/>
    </row>
    <row r="339">
      <c r="G339" s="51">
        <v>330.0</v>
      </c>
      <c r="H339" s="52">
        <f t="shared" si="1"/>
        <v>2.12115E+68</v>
      </c>
      <c r="L339" s="31"/>
      <c r="T339" s="42"/>
    </row>
    <row r="340">
      <c r="G340" s="51">
        <v>331.0</v>
      </c>
      <c r="H340" s="52">
        <f t="shared" si="1"/>
        <v>3.52789E+68</v>
      </c>
      <c r="L340" s="31"/>
      <c r="T340" s="42"/>
    </row>
    <row r="341">
      <c r="G341" s="51">
        <v>332.0</v>
      </c>
      <c r="H341" s="52">
        <f t="shared" si="1"/>
        <v>5.86759E+68</v>
      </c>
      <c r="L341" s="31"/>
      <c r="T341" s="42"/>
    </row>
    <row r="342">
      <c r="G342" s="51">
        <v>333.0</v>
      </c>
      <c r="H342" s="52">
        <f t="shared" si="1"/>
        <v>9.75897E+68</v>
      </c>
      <c r="L342" s="31"/>
      <c r="T342" s="42"/>
    </row>
    <row r="343">
      <c r="G343" s="51">
        <v>334.0</v>
      </c>
      <c r="H343" s="52">
        <f t="shared" si="1"/>
        <v>1.62311E+69</v>
      </c>
      <c r="L343" s="31"/>
      <c r="T343" s="42"/>
    </row>
    <row r="344">
      <c r="G344" s="51">
        <v>335.0</v>
      </c>
      <c r="H344" s="52">
        <f t="shared" si="1"/>
        <v>2.69956E+69</v>
      </c>
      <c r="L344" s="31"/>
      <c r="T344" s="42"/>
    </row>
    <row r="345">
      <c r="G345" s="51">
        <v>336.0</v>
      </c>
      <c r="H345" s="52">
        <f t="shared" si="1"/>
        <v>4.48991E+69</v>
      </c>
      <c r="L345" s="31"/>
      <c r="T345" s="42"/>
    </row>
    <row r="346">
      <c r="G346" s="51">
        <v>337.0</v>
      </c>
      <c r="H346" s="52">
        <f t="shared" si="1"/>
        <v>7.46761E+69</v>
      </c>
      <c r="L346" s="31"/>
      <c r="T346" s="42"/>
    </row>
    <row r="347">
      <c r="G347" s="51">
        <v>338.0</v>
      </c>
      <c r="H347" s="52">
        <f t="shared" si="1"/>
        <v>1.24201E+70</v>
      </c>
      <c r="L347" s="31"/>
      <c r="T347" s="42"/>
    </row>
    <row r="348">
      <c r="G348" s="51">
        <v>339.0</v>
      </c>
      <c r="H348" s="52">
        <f t="shared" si="1"/>
        <v>2.06572E+70</v>
      </c>
      <c r="L348" s="31"/>
      <c r="T348" s="42"/>
    </row>
    <row r="349">
      <c r="G349" s="51">
        <v>340.0</v>
      </c>
      <c r="H349" s="52">
        <f t="shared" si="1"/>
        <v>3.4357E+70</v>
      </c>
      <c r="L349" s="31"/>
      <c r="T349" s="42"/>
    </row>
    <row r="350">
      <c r="G350" s="51">
        <v>341.0</v>
      </c>
      <c r="H350" s="52">
        <f t="shared" si="1"/>
        <v>5.71426E+70</v>
      </c>
      <c r="L350" s="31"/>
      <c r="T350" s="42"/>
    </row>
    <row r="351">
      <c r="G351" s="51">
        <v>342.0</v>
      </c>
      <c r="H351" s="52">
        <f t="shared" si="1"/>
        <v>9.50395E+70</v>
      </c>
      <c r="L351" s="31"/>
      <c r="T351" s="42"/>
    </row>
    <row r="352">
      <c r="G352" s="51">
        <v>343.0</v>
      </c>
      <c r="H352" s="52">
        <f t="shared" si="1"/>
        <v>1.5807E+71</v>
      </c>
      <c r="L352" s="31"/>
      <c r="T352" s="42"/>
    </row>
    <row r="353">
      <c r="G353" s="51">
        <v>344.0</v>
      </c>
      <c r="H353" s="52">
        <f t="shared" si="1"/>
        <v>2.62902E+71</v>
      </c>
      <c r="L353" s="31"/>
      <c r="T353" s="42"/>
    </row>
    <row r="354">
      <c r="G354" s="51">
        <v>345.0</v>
      </c>
      <c r="H354" s="52">
        <f t="shared" si="1"/>
        <v>4.37258E+71</v>
      </c>
      <c r="L354" s="31"/>
      <c r="T354" s="42"/>
    </row>
    <row r="355">
      <c r="G355" s="51">
        <v>346.0</v>
      </c>
      <c r="H355" s="52">
        <f t="shared" si="1"/>
        <v>7.27247E+71</v>
      </c>
      <c r="L355" s="31"/>
      <c r="T355" s="42"/>
    </row>
    <row r="356">
      <c r="G356" s="51">
        <v>347.0</v>
      </c>
      <c r="H356" s="52">
        <f t="shared" si="1"/>
        <v>1.20956E+72</v>
      </c>
      <c r="L356" s="31"/>
      <c r="T356" s="42"/>
    </row>
    <row r="357">
      <c r="G357" s="51">
        <v>348.0</v>
      </c>
      <c r="H357" s="52">
        <f t="shared" si="1"/>
        <v>2.01174E+72</v>
      </c>
      <c r="L357" s="31"/>
      <c r="T357" s="42"/>
    </row>
    <row r="358">
      <c r="G358" s="51">
        <v>349.0</v>
      </c>
      <c r="H358" s="52">
        <f t="shared" si="1"/>
        <v>3.34592E+72</v>
      </c>
      <c r="L358" s="31"/>
      <c r="T358" s="42"/>
    </row>
    <row r="359">
      <c r="G359" s="51">
        <v>350.0</v>
      </c>
      <c r="H359" s="52">
        <f t="shared" si="1"/>
        <v>5.56493E+72</v>
      </c>
      <c r="L359" s="31"/>
      <c r="T359" s="42"/>
    </row>
    <row r="360">
      <c r="G360" s="51">
        <v>351.0</v>
      </c>
      <c r="H360" s="52">
        <f t="shared" si="1"/>
        <v>9.2556E+72</v>
      </c>
      <c r="L360" s="31"/>
      <c r="T360" s="42"/>
    </row>
    <row r="361">
      <c r="G361" s="51">
        <v>352.0</v>
      </c>
      <c r="H361" s="52">
        <f t="shared" si="1"/>
        <v>1.53939E+73</v>
      </c>
      <c r="L361" s="31"/>
      <c r="T361" s="42"/>
    </row>
    <row r="362">
      <c r="G362" s="51">
        <v>353.0</v>
      </c>
      <c r="H362" s="52">
        <f t="shared" si="1"/>
        <v>2.56032E+73</v>
      </c>
      <c r="L362" s="31"/>
      <c r="T362" s="42"/>
    </row>
    <row r="363">
      <c r="G363" s="51">
        <v>354.0</v>
      </c>
      <c r="H363" s="52">
        <f t="shared" si="1"/>
        <v>4.25832E+73</v>
      </c>
      <c r="L363" s="31"/>
      <c r="T363" s="42"/>
    </row>
    <row r="364">
      <c r="G364" s="51">
        <v>355.0</v>
      </c>
      <c r="H364" s="52">
        <f t="shared" si="1"/>
        <v>7.08243E+73</v>
      </c>
      <c r="L364" s="31"/>
      <c r="T364" s="42"/>
    </row>
    <row r="365">
      <c r="G365" s="51">
        <v>356.0</v>
      </c>
      <c r="H365" s="52">
        <f t="shared" si="1"/>
        <v>1.17795E+74</v>
      </c>
      <c r="L365" s="31"/>
      <c r="T365" s="42"/>
    </row>
    <row r="366">
      <c r="G366" s="51">
        <v>357.0</v>
      </c>
      <c r="H366" s="52">
        <f t="shared" si="1"/>
        <v>1.95917E+74</v>
      </c>
      <c r="L366" s="31"/>
      <c r="T366" s="42"/>
    </row>
    <row r="367">
      <c r="G367" s="51">
        <v>358.0</v>
      </c>
      <c r="H367" s="52">
        <f t="shared" si="1"/>
        <v>3.25849E+74</v>
      </c>
      <c r="L367" s="31"/>
      <c r="T367" s="42"/>
    </row>
    <row r="368">
      <c r="G368" s="51">
        <v>359.0</v>
      </c>
      <c r="H368" s="52">
        <f t="shared" si="1"/>
        <v>5.41951E+74</v>
      </c>
      <c r="L368" s="31"/>
      <c r="T368" s="42"/>
    </row>
    <row r="369">
      <c r="G369" s="51">
        <v>360.0</v>
      </c>
      <c r="H369" s="52">
        <f t="shared" si="1"/>
        <v>9.01374E+74</v>
      </c>
      <c r="L369" s="31"/>
      <c r="T369" s="42"/>
    </row>
    <row r="370">
      <c r="G370" s="51">
        <v>361.0</v>
      </c>
      <c r="H370" s="52">
        <f t="shared" si="1"/>
        <v>1.49916E+75</v>
      </c>
      <c r="L370" s="31"/>
      <c r="T370" s="42"/>
    </row>
    <row r="371">
      <c r="G371" s="51">
        <v>362.0</v>
      </c>
      <c r="H371" s="52">
        <f t="shared" si="1"/>
        <v>2.49341E+75</v>
      </c>
      <c r="L371" s="31"/>
      <c r="T371" s="42"/>
    </row>
    <row r="372">
      <c r="G372" s="51">
        <v>363.0</v>
      </c>
      <c r="H372" s="52">
        <f t="shared" si="1"/>
        <v>4.14704E+75</v>
      </c>
      <c r="L372" s="31"/>
      <c r="T372" s="42"/>
    </row>
    <row r="373">
      <c r="G373" s="51">
        <v>364.0</v>
      </c>
      <c r="H373" s="52">
        <f t="shared" si="1"/>
        <v>6.89736E+75</v>
      </c>
      <c r="L373" s="31"/>
      <c r="T373" s="42"/>
    </row>
    <row r="374">
      <c r="G374" s="51">
        <v>365.0</v>
      </c>
      <c r="H374" s="52">
        <f t="shared" si="1"/>
        <v>1.14717E+76</v>
      </c>
      <c r="L374" s="31"/>
      <c r="T374" s="42"/>
    </row>
    <row r="375">
      <c r="G375" s="51">
        <v>366.0</v>
      </c>
      <c r="H375" s="52">
        <f t="shared" si="1"/>
        <v>1.90797E+76</v>
      </c>
      <c r="L375" s="31"/>
      <c r="T375" s="42"/>
    </row>
    <row r="376">
      <c r="G376" s="51">
        <v>367.0</v>
      </c>
      <c r="H376" s="52">
        <f t="shared" si="1"/>
        <v>3.17334E+76</v>
      </c>
      <c r="L376" s="31"/>
      <c r="T376" s="42"/>
    </row>
    <row r="377">
      <c r="G377" s="51">
        <v>368.0</v>
      </c>
      <c r="H377" s="52">
        <f t="shared" si="1"/>
        <v>5.27789E+76</v>
      </c>
      <c r="L377" s="31"/>
      <c r="T377" s="42"/>
    </row>
    <row r="378">
      <c r="G378" s="51">
        <v>369.0</v>
      </c>
      <c r="H378" s="52">
        <f t="shared" si="1"/>
        <v>8.77819E+76</v>
      </c>
      <c r="L378" s="31"/>
      <c r="T378" s="42"/>
    </row>
    <row r="379">
      <c r="G379" s="51">
        <v>370.0</v>
      </c>
      <c r="H379" s="52">
        <f t="shared" si="1"/>
        <v>1.45999E+77</v>
      </c>
      <c r="L379" s="31"/>
      <c r="T379" s="42"/>
    </row>
    <row r="380">
      <c r="G380" s="51">
        <v>371.0</v>
      </c>
      <c r="H380" s="52">
        <f t="shared" si="1"/>
        <v>2.42825E+77</v>
      </c>
      <c r="L380" s="31"/>
      <c r="T380" s="42"/>
    </row>
    <row r="381">
      <c r="G381" s="51">
        <v>372.0</v>
      </c>
      <c r="H381" s="52">
        <f t="shared" si="1"/>
        <v>4.03867E+77</v>
      </c>
      <c r="L381" s="31"/>
      <c r="T381" s="42"/>
    </row>
    <row r="382">
      <c r="G382" s="51">
        <v>373.0</v>
      </c>
      <c r="H382" s="52">
        <f t="shared" si="1"/>
        <v>6.71712E+77</v>
      </c>
      <c r="L382" s="31"/>
      <c r="T382" s="42"/>
    </row>
    <row r="383">
      <c r="G383" s="51">
        <v>374.0</v>
      </c>
      <c r="H383" s="52">
        <f t="shared" si="1"/>
        <v>1.11719E+78</v>
      </c>
      <c r="L383" s="31"/>
      <c r="T383" s="42"/>
    </row>
    <row r="384">
      <c r="G384" s="51">
        <v>375.0</v>
      </c>
      <c r="H384" s="52">
        <f t="shared" si="1"/>
        <v>1.85811E+78</v>
      </c>
      <c r="L384" s="31"/>
      <c r="T384" s="42"/>
    </row>
    <row r="385">
      <c r="G385" s="51">
        <v>376.0</v>
      </c>
      <c r="H385" s="52">
        <f t="shared" si="1"/>
        <v>3.09041E+78</v>
      </c>
      <c r="L385" s="31"/>
      <c r="T385" s="42"/>
    </row>
    <row r="386">
      <c r="G386" s="51">
        <v>377.0</v>
      </c>
      <c r="H386" s="52">
        <f t="shared" si="1"/>
        <v>5.13997E+78</v>
      </c>
      <c r="L386" s="31"/>
      <c r="T386" s="42"/>
    </row>
    <row r="387">
      <c r="G387" s="51">
        <v>378.0</v>
      </c>
      <c r="H387" s="52">
        <f t="shared" si="1"/>
        <v>8.5488E+78</v>
      </c>
      <c r="L387" s="31"/>
      <c r="T387" s="42"/>
    </row>
    <row r="388">
      <c r="G388" s="51">
        <v>379.0</v>
      </c>
      <c r="H388" s="52">
        <f t="shared" si="1"/>
        <v>1.42184E+79</v>
      </c>
      <c r="L388" s="31"/>
      <c r="T388" s="42"/>
    </row>
    <row r="389">
      <c r="G389" s="51">
        <v>380.0</v>
      </c>
      <c r="H389" s="52">
        <f t="shared" si="1"/>
        <v>2.3648E+79</v>
      </c>
      <c r="L389" s="31"/>
      <c r="T389" s="42"/>
    </row>
    <row r="390">
      <c r="G390" s="51">
        <v>381.0</v>
      </c>
      <c r="H390" s="52">
        <f t="shared" si="1"/>
        <v>3.93313E+79</v>
      </c>
      <c r="L390" s="31"/>
      <c r="T390" s="42"/>
    </row>
    <row r="391">
      <c r="G391" s="51">
        <v>382.0</v>
      </c>
      <c r="H391" s="52">
        <f t="shared" si="1"/>
        <v>6.54159E+79</v>
      </c>
      <c r="L391" s="31"/>
      <c r="T391" s="42"/>
    </row>
    <row r="392">
      <c r="G392" s="51">
        <v>383.0</v>
      </c>
      <c r="H392" s="52">
        <f t="shared" si="1"/>
        <v>1.088E+80</v>
      </c>
      <c r="L392" s="31"/>
      <c r="T392" s="42"/>
    </row>
    <row r="393">
      <c r="G393" s="51">
        <v>384.0</v>
      </c>
      <c r="H393" s="52">
        <f t="shared" si="1"/>
        <v>1.80956E+80</v>
      </c>
      <c r="L393" s="31"/>
      <c r="T393" s="42"/>
    </row>
    <row r="394">
      <c r="G394" s="51">
        <v>385.0</v>
      </c>
      <c r="H394" s="52">
        <f t="shared" si="1"/>
        <v>3.00966E+80</v>
      </c>
      <c r="L394" s="31"/>
      <c r="T394" s="42"/>
    </row>
    <row r="395">
      <c r="G395" s="51">
        <v>386.0</v>
      </c>
      <c r="H395" s="52">
        <f t="shared" si="1"/>
        <v>5.00566E+80</v>
      </c>
      <c r="L395" s="31"/>
      <c r="T395" s="42"/>
    </row>
  </sheetData>
  <mergeCells count="6">
    <mergeCell ref="B4:D4"/>
    <mergeCell ref="G4:H4"/>
    <mergeCell ref="K4:L4"/>
    <mergeCell ref="O4:P4"/>
    <mergeCell ref="S4:T4"/>
    <mergeCell ref="V4:W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4.13"/>
    <col customWidth="1" min="5" max="5" width="4.5"/>
    <col customWidth="1" min="6" max="6" width="4.88"/>
    <col customWidth="1" min="8" max="8" width="13.13"/>
    <col customWidth="1" min="9" max="9" width="3.88"/>
    <col customWidth="1" min="10" max="10" width="4.5"/>
    <col customWidth="1" min="12" max="12" width="13.13"/>
    <col customWidth="1" min="13" max="13" width="3.63"/>
    <col customWidth="1" min="14" max="14" width="4.5"/>
    <col customWidth="1" min="16" max="16" width="13.13"/>
    <col customWidth="1" min="17" max="17" width="3.63"/>
    <col customWidth="1" min="18" max="18" width="4.5"/>
    <col customWidth="1" min="20" max="20" width="13.13"/>
    <col customWidth="1" min="21" max="21" width="3.63"/>
    <col customWidth="1" min="22" max="22" width="4.5"/>
    <col customWidth="1" min="24" max="24" width="13.13"/>
    <col customWidth="1" min="25" max="25" width="3.63"/>
    <col customWidth="1" min="26" max="26" width="4.5"/>
    <col customWidth="1" min="28" max="28" width="13.13"/>
    <col customWidth="1" min="29" max="29" width="3.63"/>
  </cols>
  <sheetData>
    <row r="1">
      <c r="L1" s="31"/>
      <c r="P1" s="31"/>
      <c r="R1" s="1"/>
      <c r="S1" s="1"/>
      <c r="T1" s="43"/>
      <c r="U1" s="1"/>
      <c r="V1" s="1"/>
      <c r="W1" s="1"/>
      <c r="X1" s="43"/>
      <c r="Y1" s="1"/>
      <c r="Z1" s="1"/>
      <c r="AA1" s="1"/>
      <c r="AB1" s="43"/>
      <c r="AC1" s="1"/>
    </row>
    <row r="2">
      <c r="L2" s="31"/>
      <c r="P2" s="31"/>
      <c r="R2" s="1"/>
      <c r="S2" s="1"/>
      <c r="T2" s="43"/>
      <c r="U2" s="1"/>
      <c r="V2" s="1"/>
      <c r="W2" s="1"/>
      <c r="X2" s="43"/>
      <c r="Y2" s="1"/>
      <c r="Z2" s="1"/>
      <c r="AA2" s="1"/>
      <c r="AB2" s="43"/>
      <c r="AC2" s="1"/>
    </row>
    <row r="3">
      <c r="L3" s="31"/>
      <c r="P3" s="31"/>
      <c r="R3" s="1"/>
      <c r="S3" s="1"/>
      <c r="T3" s="43"/>
      <c r="U3" s="1"/>
      <c r="V3" s="1"/>
      <c r="W3" s="1"/>
      <c r="X3" s="43"/>
      <c r="Y3" s="1"/>
      <c r="Z3" s="1"/>
      <c r="AA3" s="1"/>
      <c r="AB3" s="43"/>
      <c r="AC3" s="1"/>
    </row>
    <row r="4">
      <c r="A4" s="34"/>
      <c r="B4" s="35" t="s">
        <v>72</v>
      </c>
      <c r="E4" s="34"/>
      <c r="F4" s="34"/>
      <c r="G4" s="37" t="s">
        <v>73</v>
      </c>
      <c r="I4" s="34"/>
      <c r="J4" s="34"/>
      <c r="K4" s="37" t="s">
        <v>74</v>
      </c>
      <c r="M4" s="34"/>
      <c r="N4" s="34"/>
      <c r="O4" s="37" t="s">
        <v>75</v>
      </c>
      <c r="Q4" s="34"/>
      <c r="R4" s="1"/>
      <c r="S4" s="44" t="s">
        <v>76</v>
      </c>
      <c r="U4" s="1"/>
      <c r="V4" s="1"/>
      <c r="W4" s="44" t="s">
        <v>77</v>
      </c>
      <c r="Y4" s="1"/>
      <c r="Z4" s="1"/>
      <c r="AA4" s="44" t="s">
        <v>78</v>
      </c>
      <c r="AC4" s="1"/>
    </row>
    <row r="5">
      <c r="L5" s="31"/>
      <c r="P5" s="31"/>
      <c r="R5" s="1"/>
      <c r="S5" s="1"/>
      <c r="T5" s="43"/>
      <c r="U5" s="1"/>
      <c r="V5" s="1"/>
      <c r="W5" s="1"/>
      <c r="X5" s="43"/>
      <c r="Y5" s="1"/>
      <c r="Z5" s="1"/>
      <c r="AA5" s="1"/>
      <c r="AB5" s="43"/>
      <c r="AC5" s="1"/>
    </row>
    <row r="6">
      <c r="G6" s="32" t="s">
        <v>63</v>
      </c>
      <c r="H6" s="45">
        <v>1.5</v>
      </c>
      <c r="I6" s="42"/>
      <c r="J6" s="42"/>
      <c r="K6" s="45" t="s">
        <v>63</v>
      </c>
      <c r="L6" s="45">
        <v>1.5</v>
      </c>
      <c r="M6" s="42"/>
      <c r="N6" s="42"/>
      <c r="O6" s="45" t="s">
        <v>63</v>
      </c>
      <c r="P6" s="45">
        <v>1000.0</v>
      </c>
      <c r="Q6" s="42"/>
      <c r="R6" s="46"/>
      <c r="S6" s="46" t="s">
        <v>63</v>
      </c>
      <c r="T6" s="47">
        <v>2.0E7</v>
      </c>
      <c r="U6" s="46"/>
      <c r="V6" s="46"/>
      <c r="W6" s="46" t="s">
        <v>63</v>
      </c>
      <c r="X6" s="47">
        <v>100000.0</v>
      </c>
      <c r="Y6" s="46"/>
      <c r="Z6" s="46"/>
      <c r="AA6" s="46" t="s">
        <v>63</v>
      </c>
      <c r="AB6" s="47">
        <v>1.0E10</v>
      </c>
      <c r="AC6" s="1"/>
    </row>
    <row r="7">
      <c r="G7" s="32" t="s">
        <v>64</v>
      </c>
      <c r="H7" s="45">
        <v>1.5</v>
      </c>
      <c r="I7" s="42"/>
      <c r="J7" s="42"/>
      <c r="K7" s="45" t="s">
        <v>64</v>
      </c>
      <c r="L7" s="45">
        <v>4.0</v>
      </c>
      <c r="M7" s="42"/>
      <c r="N7" s="42"/>
      <c r="O7" s="45" t="s">
        <v>64</v>
      </c>
      <c r="P7" s="45">
        <v>100.0</v>
      </c>
      <c r="Q7" s="42"/>
      <c r="R7" s="46"/>
      <c r="S7" s="46" t="s">
        <v>64</v>
      </c>
      <c r="T7" s="47">
        <v>3.0</v>
      </c>
      <c r="U7" s="46"/>
      <c r="V7" s="46"/>
      <c r="W7" s="46" t="s">
        <v>64</v>
      </c>
      <c r="X7" s="47">
        <v>3.0</v>
      </c>
      <c r="Y7" s="46"/>
      <c r="Z7" s="46"/>
      <c r="AA7" s="46" t="s">
        <v>64</v>
      </c>
      <c r="AB7" s="47">
        <v>7.0</v>
      </c>
      <c r="AC7" s="1"/>
    </row>
    <row r="8">
      <c r="B8" s="32" t="s">
        <v>65</v>
      </c>
      <c r="C8" s="32" t="s">
        <v>66</v>
      </c>
      <c r="D8" s="32" t="s">
        <v>67</v>
      </c>
      <c r="G8" s="32" t="s">
        <v>65</v>
      </c>
      <c r="H8" s="32" t="s">
        <v>66</v>
      </c>
      <c r="K8" s="32" t="s">
        <v>65</v>
      </c>
      <c r="L8" s="40" t="s">
        <v>66</v>
      </c>
      <c r="O8" s="32" t="s">
        <v>65</v>
      </c>
      <c r="P8" s="40" t="s">
        <v>66</v>
      </c>
      <c r="R8" s="1"/>
      <c r="S8" s="1" t="s">
        <v>65</v>
      </c>
      <c r="T8" s="43" t="s">
        <v>66</v>
      </c>
      <c r="U8" s="1"/>
      <c r="V8" s="1"/>
      <c r="W8" s="1" t="s">
        <v>65</v>
      </c>
      <c r="X8" s="43" t="s">
        <v>66</v>
      </c>
      <c r="Y8" s="1"/>
      <c r="Z8" s="1"/>
      <c r="AA8" s="1" t="s">
        <v>65</v>
      </c>
      <c r="AB8" s="43" t="s">
        <v>66</v>
      </c>
      <c r="AC8" s="1"/>
    </row>
    <row r="9">
      <c r="B9" s="41">
        <v>0.0</v>
      </c>
      <c r="C9" s="41">
        <v>5.0</v>
      </c>
      <c r="D9" s="32" t="s">
        <v>82</v>
      </c>
      <c r="G9" s="32">
        <v>0.0</v>
      </c>
      <c r="H9" s="42">
        <f t="shared" ref="H9:H58" si="1">$H$6*($H$7^G9)*MAX(1.01^(G9-14),1)*MAX(1.02^(G9-29),1)*MAX(1.03^(G9-39),1)</f>
        <v>1.5</v>
      </c>
      <c r="K9" s="32">
        <v>0.0</v>
      </c>
      <c r="L9" s="42">
        <f t="shared" ref="L9:L58" si="2">$L$6*($L$7^K9)*MAX(1.01^(K9-14), 1)*MAX(1.02^(K9-29), 1)*MAX(1.03^(K9-39), 1)</f>
        <v>1.5</v>
      </c>
      <c r="O9" s="32">
        <v>0.0</v>
      </c>
      <c r="P9" s="42">
        <f t="shared" ref="P9:P18" si="3">$P$6*($P$7^O9)</f>
        <v>1000</v>
      </c>
      <c r="R9" s="1"/>
      <c r="S9" s="49">
        <v>0.0</v>
      </c>
      <c r="T9" s="47">
        <f t="shared" ref="T9:T108" si="4">$T$6*($T$7^S9)</f>
        <v>20000000</v>
      </c>
      <c r="U9" s="1"/>
      <c r="V9" s="1"/>
      <c r="W9" s="49">
        <v>0.0</v>
      </c>
      <c r="X9" s="47">
        <f t="shared" ref="X9:X38" si="5">$X$6*($X$7^W9)</f>
        <v>100000</v>
      </c>
      <c r="Y9" s="1"/>
      <c r="Z9" s="1"/>
      <c r="AA9" s="49">
        <v>0.0</v>
      </c>
      <c r="AB9" s="47">
        <f t="shared" ref="AB9:AB38" si="6">$AB$6*($AB$7^AA9)</f>
        <v>10000000000</v>
      </c>
      <c r="AC9" s="1"/>
    </row>
    <row r="10">
      <c r="B10" s="41">
        <v>1.0</v>
      </c>
      <c r="C10" s="41">
        <v>18.0</v>
      </c>
      <c r="D10" s="32" t="s">
        <v>88</v>
      </c>
      <c r="G10" s="32">
        <v>1.0</v>
      </c>
      <c r="H10" s="42">
        <f t="shared" si="1"/>
        <v>2.25</v>
      </c>
      <c r="K10" s="32">
        <v>1.0</v>
      </c>
      <c r="L10" s="42">
        <f t="shared" si="2"/>
        <v>6</v>
      </c>
      <c r="O10" s="32">
        <v>1.0</v>
      </c>
      <c r="P10" s="42">
        <f t="shared" si="3"/>
        <v>100000</v>
      </c>
      <c r="R10" s="1"/>
      <c r="S10" s="49">
        <v>1.0</v>
      </c>
      <c r="T10" s="47">
        <f t="shared" si="4"/>
        <v>60000000</v>
      </c>
      <c r="U10" s="1"/>
      <c r="V10" s="1"/>
      <c r="W10" s="49">
        <v>1.0</v>
      </c>
      <c r="X10" s="47">
        <f t="shared" si="5"/>
        <v>300000</v>
      </c>
      <c r="Y10" s="1"/>
      <c r="Z10" s="1"/>
      <c r="AA10" s="49">
        <v>1.0</v>
      </c>
      <c r="AB10" s="47">
        <f t="shared" si="6"/>
        <v>70000000000</v>
      </c>
      <c r="AC10" s="1"/>
    </row>
    <row r="11">
      <c r="B11" s="41">
        <v>2.0</v>
      </c>
      <c r="C11" s="50">
        <v>3.0E9</v>
      </c>
      <c r="D11" s="32" t="s">
        <v>90</v>
      </c>
      <c r="G11" s="32">
        <v>2.0</v>
      </c>
      <c r="H11" s="42">
        <f t="shared" si="1"/>
        <v>3.375</v>
      </c>
      <c r="K11" s="32">
        <v>2.0</v>
      </c>
      <c r="L11" s="42">
        <f t="shared" si="2"/>
        <v>24</v>
      </c>
      <c r="O11" s="32">
        <v>2.0</v>
      </c>
      <c r="P11" s="42">
        <f t="shared" si="3"/>
        <v>10000000</v>
      </c>
      <c r="R11" s="1"/>
      <c r="S11" s="49">
        <v>2.0</v>
      </c>
      <c r="T11" s="47">
        <f t="shared" si="4"/>
        <v>180000000</v>
      </c>
      <c r="U11" s="1"/>
      <c r="V11" s="1"/>
      <c r="W11" s="49">
        <v>2.0</v>
      </c>
      <c r="X11" s="47">
        <f t="shared" si="5"/>
        <v>900000</v>
      </c>
      <c r="Y11" s="1"/>
      <c r="Z11" s="1"/>
      <c r="AA11" s="49">
        <v>2.0</v>
      </c>
      <c r="AB11" s="47">
        <f t="shared" si="6"/>
        <v>490000000000</v>
      </c>
      <c r="AC11" s="1"/>
    </row>
    <row r="12">
      <c r="B12" s="48"/>
      <c r="C12" s="48"/>
      <c r="G12" s="32">
        <v>3.0</v>
      </c>
      <c r="H12" s="42">
        <f t="shared" si="1"/>
        <v>5.0625</v>
      </c>
      <c r="K12" s="32">
        <v>3.0</v>
      </c>
      <c r="L12" s="42">
        <f t="shared" si="2"/>
        <v>96</v>
      </c>
      <c r="O12" s="32">
        <v>3.0</v>
      </c>
      <c r="P12" s="42">
        <f t="shared" si="3"/>
        <v>1000000000</v>
      </c>
      <c r="R12" s="1"/>
      <c r="S12" s="49">
        <v>3.0</v>
      </c>
      <c r="T12" s="47">
        <f t="shared" si="4"/>
        <v>540000000</v>
      </c>
      <c r="U12" s="1"/>
      <c r="V12" s="1"/>
      <c r="W12" s="49">
        <v>3.0</v>
      </c>
      <c r="X12" s="47">
        <f t="shared" si="5"/>
        <v>2700000</v>
      </c>
      <c r="Y12" s="1"/>
      <c r="Z12" s="1"/>
      <c r="AA12" s="49">
        <v>3.0</v>
      </c>
      <c r="AB12" s="47">
        <f t="shared" si="6"/>
        <v>3430000000000</v>
      </c>
      <c r="AC12" s="1"/>
    </row>
    <row r="13">
      <c r="B13" s="48"/>
      <c r="C13" s="48"/>
      <c r="G13" s="32">
        <v>4.0</v>
      </c>
      <c r="H13" s="42">
        <f t="shared" si="1"/>
        <v>7.59375</v>
      </c>
      <c r="K13" s="32">
        <v>4.0</v>
      </c>
      <c r="L13" s="42">
        <f t="shared" si="2"/>
        <v>384</v>
      </c>
      <c r="O13" s="32">
        <v>4.0</v>
      </c>
      <c r="P13" s="42">
        <f t="shared" si="3"/>
        <v>100000000000</v>
      </c>
      <c r="R13" s="1"/>
      <c r="S13" s="49">
        <v>4.0</v>
      </c>
      <c r="T13" s="47">
        <f t="shared" si="4"/>
        <v>1620000000</v>
      </c>
      <c r="U13" s="1"/>
      <c r="V13" s="1"/>
      <c r="W13" s="49">
        <v>4.0</v>
      </c>
      <c r="X13" s="47">
        <f t="shared" si="5"/>
        <v>8100000</v>
      </c>
      <c r="Y13" s="1"/>
      <c r="Z13" s="1"/>
      <c r="AA13" s="49">
        <v>4.0</v>
      </c>
      <c r="AB13" s="47">
        <f t="shared" si="6"/>
        <v>24010000000000</v>
      </c>
      <c r="AC13" s="1"/>
    </row>
    <row r="14">
      <c r="B14" s="48"/>
      <c r="C14" s="48"/>
      <c r="G14" s="32">
        <v>5.0</v>
      </c>
      <c r="H14" s="42">
        <f t="shared" si="1"/>
        <v>11.390625</v>
      </c>
      <c r="K14" s="32">
        <v>5.0</v>
      </c>
      <c r="L14" s="42">
        <f t="shared" si="2"/>
        <v>1536</v>
      </c>
      <c r="O14" s="32">
        <v>5.0</v>
      </c>
      <c r="P14" s="42">
        <f t="shared" si="3"/>
        <v>10000000000000</v>
      </c>
      <c r="R14" s="1"/>
      <c r="S14" s="49">
        <v>5.0</v>
      </c>
      <c r="T14" s="47">
        <f t="shared" si="4"/>
        <v>4860000000</v>
      </c>
      <c r="U14" s="1"/>
      <c r="V14" s="1"/>
      <c r="W14" s="49">
        <v>5.0</v>
      </c>
      <c r="X14" s="47">
        <f t="shared" si="5"/>
        <v>24300000</v>
      </c>
      <c r="Y14" s="1"/>
      <c r="Z14" s="1"/>
      <c r="AA14" s="49">
        <v>5.0</v>
      </c>
      <c r="AB14" s="47">
        <f t="shared" si="6"/>
        <v>168070000000000</v>
      </c>
      <c r="AC14" s="1"/>
    </row>
    <row r="15">
      <c r="B15" s="48"/>
      <c r="C15" s="48"/>
      <c r="G15" s="32">
        <v>6.0</v>
      </c>
      <c r="H15" s="42">
        <f t="shared" si="1"/>
        <v>17.0859375</v>
      </c>
      <c r="K15" s="32">
        <v>6.0</v>
      </c>
      <c r="L15" s="42">
        <f t="shared" si="2"/>
        <v>6144</v>
      </c>
      <c r="O15" s="32">
        <v>6.0</v>
      </c>
      <c r="P15" s="42">
        <f t="shared" si="3"/>
        <v>1E+15</v>
      </c>
      <c r="R15" s="1"/>
      <c r="S15" s="49">
        <v>6.0</v>
      </c>
      <c r="T15" s="47">
        <f t="shared" si="4"/>
        <v>14580000000</v>
      </c>
      <c r="U15" s="1"/>
      <c r="V15" s="1"/>
      <c r="W15" s="49">
        <v>6.0</v>
      </c>
      <c r="X15" s="47">
        <f t="shared" si="5"/>
        <v>72900000</v>
      </c>
      <c r="Y15" s="1"/>
      <c r="Z15" s="1"/>
      <c r="AA15" s="49">
        <v>6.0</v>
      </c>
      <c r="AB15" s="47">
        <f t="shared" si="6"/>
        <v>1.17649E+15</v>
      </c>
      <c r="AC15" s="1"/>
    </row>
    <row r="16">
      <c r="B16" s="48"/>
      <c r="C16" s="48"/>
      <c r="G16" s="32">
        <v>7.0</v>
      </c>
      <c r="H16" s="42">
        <f t="shared" si="1"/>
        <v>25.62890625</v>
      </c>
      <c r="K16" s="32">
        <v>7.0</v>
      </c>
      <c r="L16" s="42">
        <f t="shared" si="2"/>
        <v>24576</v>
      </c>
      <c r="O16" s="32">
        <v>7.0</v>
      </c>
      <c r="P16" s="42">
        <f t="shared" si="3"/>
        <v>1E+17</v>
      </c>
      <c r="R16" s="1"/>
      <c r="S16" s="49">
        <v>7.0</v>
      </c>
      <c r="T16" s="47">
        <f t="shared" si="4"/>
        <v>43740000000</v>
      </c>
      <c r="U16" s="1"/>
      <c r="V16" s="1"/>
      <c r="W16" s="49">
        <v>7.0</v>
      </c>
      <c r="X16" s="47">
        <f t="shared" si="5"/>
        <v>218700000</v>
      </c>
      <c r="Y16" s="1"/>
      <c r="Z16" s="1"/>
      <c r="AA16" s="49">
        <v>7.0</v>
      </c>
      <c r="AB16" s="47">
        <f t="shared" si="6"/>
        <v>8.23543E+15</v>
      </c>
      <c r="AC16" s="1"/>
    </row>
    <row r="17">
      <c r="B17" s="48"/>
      <c r="C17" s="48"/>
      <c r="G17" s="32">
        <v>8.0</v>
      </c>
      <c r="H17" s="42">
        <f t="shared" si="1"/>
        <v>38.44335938</v>
      </c>
      <c r="K17" s="32">
        <v>8.0</v>
      </c>
      <c r="L17" s="42">
        <f t="shared" si="2"/>
        <v>98304</v>
      </c>
      <c r="O17" s="32">
        <v>8.0</v>
      </c>
      <c r="P17" s="42">
        <f t="shared" si="3"/>
        <v>1E+19</v>
      </c>
      <c r="R17" s="1"/>
      <c r="S17" s="49">
        <v>8.0</v>
      </c>
      <c r="T17" s="47">
        <f t="shared" si="4"/>
        <v>131220000000</v>
      </c>
      <c r="U17" s="1"/>
      <c r="V17" s="1"/>
      <c r="W17" s="49">
        <v>8.0</v>
      </c>
      <c r="X17" s="47">
        <f t="shared" si="5"/>
        <v>656100000</v>
      </c>
      <c r="Y17" s="1"/>
      <c r="Z17" s="1"/>
      <c r="AA17" s="49">
        <v>8.0</v>
      </c>
      <c r="AB17" s="47">
        <f t="shared" si="6"/>
        <v>5.7648E+16</v>
      </c>
      <c r="AC17" s="1"/>
    </row>
    <row r="18">
      <c r="B18" s="48"/>
      <c r="C18" s="48"/>
      <c r="G18" s="32">
        <v>9.0</v>
      </c>
      <c r="H18" s="42">
        <f t="shared" si="1"/>
        <v>57.66503906</v>
      </c>
      <c r="K18" s="32">
        <v>9.0</v>
      </c>
      <c r="L18" s="42">
        <f t="shared" si="2"/>
        <v>393216</v>
      </c>
      <c r="O18" s="32">
        <v>9.0</v>
      </c>
      <c r="P18" s="42">
        <f t="shared" si="3"/>
        <v>1E+21</v>
      </c>
      <c r="R18" s="1"/>
      <c r="S18" s="49">
        <v>9.0</v>
      </c>
      <c r="T18" s="47">
        <f t="shared" si="4"/>
        <v>393660000000</v>
      </c>
      <c r="U18" s="1"/>
      <c r="V18" s="1"/>
      <c r="W18" s="49">
        <v>9.0</v>
      </c>
      <c r="X18" s="47">
        <f t="shared" si="5"/>
        <v>1968300000</v>
      </c>
      <c r="Y18" s="1"/>
      <c r="Z18" s="1"/>
      <c r="AA18" s="49">
        <v>9.0</v>
      </c>
      <c r="AB18" s="47">
        <f t="shared" si="6"/>
        <v>4.03536E+17</v>
      </c>
      <c r="AC18" s="1"/>
    </row>
    <row r="19">
      <c r="B19" s="48"/>
      <c r="C19" s="48"/>
      <c r="G19" s="32">
        <v>10.0</v>
      </c>
      <c r="H19" s="42">
        <f t="shared" si="1"/>
        <v>86.49755859</v>
      </c>
      <c r="K19" s="32">
        <v>10.0</v>
      </c>
      <c r="L19" s="42">
        <f t="shared" si="2"/>
        <v>1572864</v>
      </c>
      <c r="O19" s="32">
        <v>10.0</v>
      </c>
      <c r="P19" s="45" t="s">
        <v>97</v>
      </c>
      <c r="R19" s="1"/>
      <c r="S19" s="49">
        <v>10.0</v>
      </c>
      <c r="T19" s="47">
        <f t="shared" si="4"/>
        <v>1180980000000</v>
      </c>
      <c r="U19" s="1"/>
      <c r="V19" s="1"/>
      <c r="W19" s="49">
        <v>10.0</v>
      </c>
      <c r="X19" s="47">
        <f t="shared" si="5"/>
        <v>5904900000</v>
      </c>
      <c r="Y19" s="1"/>
      <c r="Z19" s="1"/>
      <c r="AA19" s="49">
        <v>10.0</v>
      </c>
      <c r="AB19" s="47">
        <f t="shared" si="6"/>
        <v>2.82475E+18</v>
      </c>
      <c r="AC19" s="1"/>
    </row>
    <row r="20">
      <c r="B20" s="48"/>
      <c r="C20" s="48"/>
      <c r="G20" s="32">
        <v>11.0</v>
      </c>
      <c r="H20" s="42">
        <f t="shared" si="1"/>
        <v>129.7463379</v>
      </c>
      <c r="K20" s="32">
        <v>11.0</v>
      </c>
      <c r="L20" s="42">
        <f t="shared" si="2"/>
        <v>6291456</v>
      </c>
      <c r="P20" s="42"/>
      <c r="R20" s="1"/>
      <c r="S20" s="49">
        <v>11.0</v>
      </c>
      <c r="T20" s="47">
        <f t="shared" si="4"/>
        <v>3542940000000</v>
      </c>
      <c r="U20" s="1"/>
      <c r="V20" s="1"/>
      <c r="W20" s="49">
        <v>11.0</v>
      </c>
      <c r="X20" s="47">
        <f t="shared" si="5"/>
        <v>17714700000</v>
      </c>
      <c r="Y20" s="1"/>
      <c r="Z20" s="1"/>
      <c r="AA20" s="49">
        <v>11.0</v>
      </c>
      <c r="AB20" s="47">
        <f t="shared" si="6"/>
        <v>1.97733E+19</v>
      </c>
      <c r="AC20" s="1"/>
    </row>
    <row r="21">
      <c r="G21" s="32">
        <v>12.0</v>
      </c>
      <c r="H21" s="42">
        <f t="shared" si="1"/>
        <v>194.6195068</v>
      </c>
      <c r="K21" s="32">
        <v>12.0</v>
      </c>
      <c r="L21" s="42">
        <f t="shared" si="2"/>
        <v>25165824</v>
      </c>
      <c r="P21" s="42"/>
      <c r="R21" s="1"/>
      <c r="S21" s="49">
        <v>12.0</v>
      </c>
      <c r="T21" s="47">
        <f t="shared" si="4"/>
        <v>10628820000000</v>
      </c>
      <c r="U21" s="1"/>
      <c r="V21" s="1"/>
      <c r="W21" s="49">
        <v>12.0</v>
      </c>
      <c r="X21" s="47">
        <f t="shared" si="5"/>
        <v>53144100000</v>
      </c>
      <c r="Y21" s="1"/>
      <c r="Z21" s="1"/>
      <c r="AA21" s="49">
        <v>12.0</v>
      </c>
      <c r="AB21" s="47">
        <f t="shared" si="6"/>
        <v>1.38413E+20</v>
      </c>
      <c r="AC21" s="1"/>
    </row>
    <row r="22">
      <c r="G22" s="32">
        <v>13.0</v>
      </c>
      <c r="H22" s="42">
        <f t="shared" si="1"/>
        <v>291.9292603</v>
      </c>
      <c r="K22" s="32">
        <v>13.0</v>
      </c>
      <c r="L22" s="42">
        <f t="shared" si="2"/>
        <v>100663296</v>
      </c>
      <c r="P22" s="42"/>
      <c r="R22" s="1"/>
      <c r="S22" s="49">
        <v>13.0</v>
      </c>
      <c r="T22" s="47">
        <f t="shared" si="4"/>
        <v>31886460000000</v>
      </c>
      <c r="U22" s="1"/>
      <c r="V22" s="1"/>
      <c r="W22" s="49">
        <v>13.0</v>
      </c>
      <c r="X22" s="47">
        <f t="shared" si="5"/>
        <v>159432300000</v>
      </c>
      <c r="Y22" s="1"/>
      <c r="Z22" s="1"/>
      <c r="AA22" s="49">
        <v>13.0</v>
      </c>
      <c r="AB22" s="47">
        <f t="shared" si="6"/>
        <v>9.6889E+20</v>
      </c>
      <c r="AC22" s="1"/>
    </row>
    <row r="23">
      <c r="G23" s="32">
        <v>14.0</v>
      </c>
      <c r="H23" s="42">
        <f t="shared" si="1"/>
        <v>437.8938904</v>
      </c>
      <c r="K23" s="32">
        <v>14.0</v>
      </c>
      <c r="L23" s="42">
        <f t="shared" si="2"/>
        <v>402653184</v>
      </c>
      <c r="P23" s="42"/>
      <c r="R23" s="1"/>
      <c r="S23" s="49">
        <v>14.0</v>
      </c>
      <c r="T23" s="47">
        <f t="shared" si="4"/>
        <v>95659380000000</v>
      </c>
      <c r="U23" s="1"/>
      <c r="V23" s="1"/>
      <c r="W23" s="49">
        <v>14.0</v>
      </c>
      <c r="X23" s="47">
        <f t="shared" si="5"/>
        <v>478296900000</v>
      </c>
      <c r="Y23" s="1"/>
      <c r="Z23" s="1"/>
      <c r="AA23" s="49">
        <v>14.0</v>
      </c>
      <c r="AB23" s="47">
        <f t="shared" si="6"/>
        <v>6.78223E+21</v>
      </c>
      <c r="AC23" s="1"/>
    </row>
    <row r="24">
      <c r="G24" s="32">
        <v>15.0</v>
      </c>
      <c r="H24" s="42">
        <f t="shared" si="1"/>
        <v>663.4092439</v>
      </c>
      <c r="K24" s="32">
        <v>15.0</v>
      </c>
      <c r="L24" s="42">
        <f t="shared" si="2"/>
        <v>1626718863</v>
      </c>
      <c r="P24" s="42"/>
      <c r="R24" s="1"/>
      <c r="S24" s="49">
        <v>15.0</v>
      </c>
      <c r="T24" s="47">
        <f t="shared" si="4"/>
        <v>286978140000000</v>
      </c>
      <c r="U24" s="1"/>
      <c r="V24" s="1"/>
      <c r="W24" s="49">
        <v>15.0</v>
      </c>
      <c r="X24" s="47">
        <f t="shared" si="5"/>
        <v>1434890700000</v>
      </c>
      <c r="Y24" s="1"/>
      <c r="Z24" s="1"/>
      <c r="AA24" s="49">
        <v>15.0</v>
      </c>
      <c r="AB24" s="47">
        <f t="shared" si="6"/>
        <v>4.74756E+22</v>
      </c>
      <c r="AC24" s="1"/>
    </row>
    <row r="25">
      <c r="G25" s="32">
        <v>16.0</v>
      </c>
      <c r="H25" s="42">
        <f t="shared" si="1"/>
        <v>1005.065005</v>
      </c>
      <c r="K25" s="32">
        <v>16.0</v>
      </c>
      <c r="L25" s="42">
        <f t="shared" si="2"/>
        <v>6571944208</v>
      </c>
      <c r="P25" s="42"/>
      <c r="R25" s="1"/>
      <c r="S25" s="49">
        <v>16.0</v>
      </c>
      <c r="T25" s="47">
        <f t="shared" si="4"/>
        <v>860934420000000</v>
      </c>
      <c r="U25" s="1"/>
      <c r="V25" s="1"/>
      <c r="W25" s="49">
        <v>16.0</v>
      </c>
      <c r="X25" s="47">
        <f t="shared" si="5"/>
        <v>4304672100000</v>
      </c>
      <c r="Y25" s="1"/>
      <c r="Z25" s="1"/>
      <c r="AA25" s="49">
        <v>16.0</v>
      </c>
      <c r="AB25" s="47">
        <f t="shared" si="6"/>
        <v>3.32329E+23</v>
      </c>
      <c r="AC25" s="1"/>
    </row>
    <row r="26">
      <c r="G26" s="32">
        <v>17.0</v>
      </c>
      <c r="H26" s="42">
        <f t="shared" si="1"/>
        <v>1522.673482</v>
      </c>
      <c r="K26" s="32">
        <v>17.0</v>
      </c>
      <c r="L26" s="42">
        <f t="shared" si="2"/>
        <v>26550654600</v>
      </c>
      <c r="P26" s="42"/>
      <c r="R26" s="1"/>
      <c r="S26" s="49">
        <v>17.0</v>
      </c>
      <c r="T26" s="47">
        <f t="shared" si="4"/>
        <v>2.5828E+15</v>
      </c>
      <c r="U26" s="1"/>
      <c r="V26" s="1"/>
      <c r="W26" s="49">
        <v>17.0</v>
      </c>
      <c r="X26" s="47">
        <f t="shared" si="5"/>
        <v>12914016300000</v>
      </c>
      <c r="Y26" s="1"/>
      <c r="Z26" s="1"/>
      <c r="AA26" s="49">
        <v>17.0</v>
      </c>
      <c r="AB26" s="47">
        <f t="shared" si="6"/>
        <v>2.32631E+24</v>
      </c>
      <c r="AC26" s="1"/>
    </row>
    <row r="27">
      <c r="G27" s="32">
        <v>18.0</v>
      </c>
      <c r="H27" s="42">
        <f t="shared" si="1"/>
        <v>2306.850325</v>
      </c>
      <c r="K27" s="32">
        <v>18.0</v>
      </c>
      <c r="L27" s="42">
        <f t="shared" si="2"/>
        <v>107264644585</v>
      </c>
      <c r="P27" s="42"/>
      <c r="R27" s="1"/>
      <c r="S27" s="49">
        <v>18.0</v>
      </c>
      <c r="T27" s="47">
        <f t="shared" si="4"/>
        <v>7.74841E+15</v>
      </c>
      <c r="U27" s="1"/>
      <c r="V27" s="1"/>
      <c r="W27" s="49">
        <v>18.0</v>
      </c>
      <c r="X27" s="47">
        <f t="shared" si="5"/>
        <v>38742048900000</v>
      </c>
      <c r="Y27" s="1"/>
      <c r="Z27" s="1"/>
      <c r="AA27" s="49">
        <v>18.0</v>
      </c>
      <c r="AB27" s="47">
        <f t="shared" si="6"/>
        <v>1.62841E+25</v>
      </c>
      <c r="AC27" s="1"/>
    </row>
    <row r="28">
      <c r="G28" s="32">
        <v>19.0</v>
      </c>
      <c r="H28" s="42">
        <f t="shared" si="1"/>
        <v>3494.878242</v>
      </c>
      <c r="K28" s="32">
        <v>19.0</v>
      </c>
      <c r="L28" s="42">
        <f t="shared" si="2"/>
        <v>433349164123</v>
      </c>
      <c r="P28" s="42"/>
      <c r="R28" s="1"/>
      <c r="S28" s="49">
        <v>19.0</v>
      </c>
      <c r="T28" s="47">
        <f t="shared" si="4"/>
        <v>2.32452E+16</v>
      </c>
      <c r="U28" s="1"/>
      <c r="V28" s="1"/>
      <c r="W28" s="49">
        <v>19.0</v>
      </c>
      <c r="X28" s="47">
        <f t="shared" si="5"/>
        <v>116226146700000</v>
      </c>
      <c r="Y28" s="1"/>
      <c r="Z28" s="1"/>
      <c r="AA28" s="49">
        <v>19.0</v>
      </c>
      <c r="AB28" s="47">
        <f t="shared" si="6"/>
        <v>1.13989E+26</v>
      </c>
      <c r="AC28" s="1"/>
    </row>
    <row r="29">
      <c r="G29" s="32">
        <v>20.0</v>
      </c>
      <c r="H29" s="42">
        <f t="shared" si="1"/>
        <v>5294.740537</v>
      </c>
      <c r="K29" s="32">
        <v>20.0</v>
      </c>
      <c r="L29" s="42">
        <f t="shared" si="2"/>
        <v>1750730623057</v>
      </c>
      <c r="P29" s="42"/>
      <c r="R29" s="1"/>
      <c r="S29" s="49">
        <v>20.0</v>
      </c>
      <c r="T29" s="47">
        <f t="shared" si="4"/>
        <v>6.97357E+16</v>
      </c>
      <c r="U29" s="1"/>
      <c r="V29" s="1"/>
      <c r="W29" s="49">
        <v>20.0</v>
      </c>
      <c r="X29" s="47">
        <f t="shared" si="5"/>
        <v>348678440100000</v>
      </c>
      <c r="Y29" s="1"/>
      <c r="Z29" s="1"/>
      <c r="AA29" s="49">
        <v>20.0</v>
      </c>
      <c r="AB29" s="47">
        <f t="shared" si="6"/>
        <v>7.97923E+26</v>
      </c>
      <c r="AC29" s="1"/>
    </row>
    <row r="30">
      <c r="G30" s="32">
        <v>21.0</v>
      </c>
      <c r="H30" s="42">
        <f t="shared" si="1"/>
        <v>8021.531914</v>
      </c>
      <c r="K30" s="32">
        <v>21.0</v>
      </c>
      <c r="L30" s="42">
        <f t="shared" si="2"/>
        <v>7072951717148</v>
      </c>
      <c r="P30" s="42"/>
      <c r="R30" s="1"/>
      <c r="S30" s="49">
        <v>21.0</v>
      </c>
      <c r="T30" s="47">
        <f t="shared" si="4"/>
        <v>2.09207E+17</v>
      </c>
      <c r="U30" s="1"/>
      <c r="V30" s="1"/>
      <c r="W30" s="49">
        <v>21.0</v>
      </c>
      <c r="X30" s="47">
        <f t="shared" si="5"/>
        <v>1.04604E+15</v>
      </c>
      <c r="Y30" s="1"/>
      <c r="Z30" s="1"/>
      <c r="AA30" s="49">
        <v>21.0</v>
      </c>
      <c r="AB30" s="47">
        <f t="shared" si="6"/>
        <v>5.58546E+27</v>
      </c>
      <c r="AC30" s="1"/>
    </row>
    <row r="31">
      <c r="G31" s="32">
        <v>22.0</v>
      </c>
      <c r="H31" s="42">
        <f t="shared" si="1"/>
        <v>12152.62085</v>
      </c>
      <c r="K31" s="32">
        <v>22.0</v>
      </c>
      <c r="L31" s="42">
        <f t="shared" si="2"/>
        <v>28574724937279</v>
      </c>
      <c r="P31" s="42"/>
      <c r="R31" s="1"/>
      <c r="S31" s="49">
        <v>22.0</v>
      </c>
      <c r="T31" s="47">
        <f t="shared" si="4"/>
        <v>6.27621E+17</v>
      </c>
      <c r="U31" s="1"/>
      <c r="V31" s="1"/>
      <c r="W31" s="49">
        <v>22.0</v>
      </c>
      <c r="X31" s="47">
        <f t="shared" si="5"/>
        <v>3.13811E+15</v>
      </c>
      <c r="Y31" s="1"/>
      <c r="Z31" s="1"/>
      <c r="AA31" s="49">
        <v>22.0</v>
      </c>
      <c r="AB31" s="47">
        <f t="shared" si="6"/>
        <v>3.90982E+28</v>
      </c>
      <c r="AC31" s="1"/>
    </row>
    <row r="32">
      <c r="G32" s="32">
        <v>23.0</v>
      </c>
      <c r="H32" s="42">
        <f t="shared" si="1"/>
        <v>18411.22059</v>
      </c>
      <c r="K32" s="32">
        <v>23.0</v>
      </c>
      <c r="L32" s="42">
        <f t="shared" si="2"/>
        <v>115441888746607</v>
      </c>
      <c r="P32" s="42"/>
      <c r="R32" s="1"/>
      <c r="S32" s="49">
        <v>23.0</v>
      </c>
      <c r="T32" s="47">
        <f t="shared" si="4"/>
        <v>1.88286E+18</v>
      </c>
      <c r="U32" s="1"/>
      <c r="V32" s="1"/>
      <c r="W32" s="49">
        <v>23.0</v>
      </c>
      <c r="X32" s="47">
        <f t="shared" si="5"/>
        <v>9.41432E+15</v>
      </c>
      <c r="Y32" s="1"/>
      <c r="Z32" s="1"/>
      <c r="AA32" s="49">
        <v>23.0</v>
      </c>
      <c r="AB32" s="47">
        <f t="shared" si="6"/>
        <v>2.73687E+29</v>
      </c>
      <c r="AC32" s="1"/>
    </row>
    <row r="33">
      <c r="G33" s="32">
        <v>24.0</v>
      </c>
      <c r="H33" s="42">
        <f t="shared" si="1"/>
        <v>27892.99919</v>
      </c>
      <c r="K33" s="32">
        <v>24.0</v>
      </c>
      <c r="L33" s="42">
        <f t="shared" si="2"/>
        <v>466385230536291</v>
      </c>
      <c r="P33" s="42"/>
      <c r="R33" s="1"/>
      <c r="S33" s="49">
        <v>24.0</v>
      </c>
      <c r="T33" s="47">
        <f t="shared" si="4"/>
        <v>5.64859E+18</v>
      </c>
      <c r="U33" s="1"/>
      <c r="V33" s="1"/>
      <c r="W33" s="49">
        <v>24.0</v>
      </c>
      <c r="X33" s="47">
        <f t="shared" si="5"/>
        <v>2.8243E+16</v>
      </c>
      <c r="Y33" s="1"/>
      <c r="Z33" s="1"/>
      <c r="AA33" s="49">
        <v>24.0</v>
      </c>
      <c r="AB33" s="47">
        <f t="shared" si="6"/>
        <v>1.91581E+30</v>
      </c>
      <c r="AC33" s="1"/>
    </row>
    <row r="34">
      <c r="G34" s="32">
        <v>25.0</v>
      </c>
      <c r="H34" s="42">
        <f t="shared" si="1"/>
        <v>42257.89377</v>
      </c>
      <c r="K34" s="32">
        <v>25.0</v>
      </c>
      <c r="L34" s="42">
        <f t="shared" si="2"/>
        <v>1.8842E+15</v>
      </c>
      <c r="P34" s="42"/>
      <c r="R34" s="1"/>
      <c r="S34" s="49">
        <v>25.0</v>
      </c>
      <c r="T34" s="47">
        <f t="shared" si="4"/>
        <v>1.69458E+19</v>
      </c>
      <c r="U34" s="1"/>
      <c r="V34" s="1"/>
      <c r="W34" s="49">
        <v>25.0</v>
      </c>
      <c r="X34" s="47">
        <f t="shared" si="5"/>
        <v>8.47289E+16</v>
      </c>
      <c r="Y34" s="1"/>
      <c r="Z34" s="1"/>
      <c r="AA34" s="49">
        <v>25.0</v>
      </c>
      <c r="AB34" s="47">
        <f t="shared" si="6"/>
        <v>1.34107E+31</v>
      </c>
      <c r="AC34" s="1"/>
    </row>
    <row r="35">
      <c r="G35" s="32">
        <v>26.0</v>
      </c>
      <c r="H35" s="42">
        <f t="shared" si="1"/>
        <v>64020.70907</v>
      </c>
      <c r="K35" s="32">
        <v>26.0</v>
      </c>
      <c r="L35" s="42">
        <f t="shared" si="2"/>
        <v>7.61215E+15</v>
      </c>
      <c r="P35" s="42"/>
      <c r="R35" s="1"/>
      <c r="S35" s="49">
        <v>26.0</v>
      </c>
      <c r="T35" s="47">
        <f t="shared" si="4"/>
        <v>5.08373E+19</v>
      </c>
      <c r="U35" s="1"/>
      <c r="V35" s="1"/>
      <c r="W35" s="49">
        <v>26.0</v>
      </c>
      <c r="X35" s="47">
        <f t="shared" si="5"/>
        <v>2.54187E+17</v>
      </c>
      <c r="Y35" s="1"/>
      <c r="Z35" s="1"/>
      <c r="AA35" s="49">
        <v>26.0</v>
      </c>
      <c r="AB35" s="47">
        <f t="shared" si="6"/>
        <v>9.38748E+31</v>
      </c>
      <c r="AC35" s="1"/>
    </row>
    <row r="36">
      <c r="G36" s="32">
        <v>27.0</v>
      </c>
      <c r="H36" s="42">
        <f t="shared" si="1"/>
        <v>96991.37424</v>
      </c>
      <c r="K36" s="32">
        <v>27.0</v>
      </c>
      <c r="L36" s="42">
        <f t="shared" si="2"/>
        <v>3.07531E+16</v>
      </c>
      <c r="P36" s="42"/>
      <c r="R36" s="1"/>
      <c r="S36" s="49">
        <v>27.0</v>
      </c>
      <c r="T36" s="47">
        <f t="shared" si="4"/>
        <v>1.52512E+20</v>
      </c>
      <c r="U36" s="1"/>
      <c r="V36" s="1"/>
      <c r="W36" s="49">
        <v>27.0</v>
      </c>
      <c r="X36" s="47">
        <f t="shared" si="5"/>
        <v>7.6256E+17</v>
      </c>
      <c r="Y36" s="1"/>
      <c r="Z36" s="1"/>
      <c r="AA36" s="49">
        <v>27.0</v>
      </c>
      <c r="AB36" s="47">
        <f t="shared" si="6"/>
        <v>6.57124E+32</v>
      </c>
      <c r="AC36" s="1"/>
    </row>
    <row r="37">
      <c r="G37" s="32">
        <v>28.0</v>
      </c>
      <c r="H37" s="42">
        <f t="shared" si="1"/>
        <v>146941.932</v>
      </c>
      <c r="K37" s="32">
        <v>28.0</v>
      </c>
      <c r="L37" s="42">
        <f t="shared" si="2"/>
        <v>1.24243E+17</v>
      </c>
      <c r="P37" s="42"/>
      <c r="R37" s="1"/>
      <c r="S37" s="49">
        <v>28.0</v>
      </c>
      <c r="T37" s="47">
        <f t="shared" si="4"/>
        <v>4.57536E+20</v>
      </c>
      <c r="U37" s="1"/>
      <c r="V37" s="1"/>
      <c r="W37" s="49">
        <v>28.0</v>
      </c>
      <c r="X37" s="47">
        <f t="shared" si="5"/>
        <v>2.28768E+18</v>
      </c>
      <c r="Y37" s="1"/>
      <c r="Z37" s="1"/>
      <c r="AA37" s="49">
        <v>28.0</v>
      </c>
      <c r="AB37" s="47">
        <f t="shared" si="6"/>
        <v>4.59987E+33</v>
      </c>
      <c r="AC37" s="1"/>
    </row>
    <row r="38">
      <c r="G38" s="32">
        <v>29.0</v>
      </c>
      <c r="H38" s="42">
        <f t="shared" si="1"/>
        <v>222617.0269</v>
      </c>
      <c r="K38" s="32">
        <v>29.0</v>
      </c>
      <c r="L38" s="42">
        <f t="shared" si="2"/>
        <v>5.0194E+17</v>
      </c>
      <c r="P38" s="42"/>
      <c r="R38" s="1"/>
      <c r="S38" s="49">
        <v>29.0</v>
      </c>
      <c r="T38" s="47">
        <f t="shared" si="4"/>
        <v>1.37261E+21</v>
      </c>
      <c r="U38" s="1"/>
      <c r="V38" s="1"/>
      <c r="W38" s="49">
        <v>29.0</v>
      </c>
      <c r="X38" s="47">
        <f t="shared" si="5"/>
        <v>6.86304E+18</v>
      </c>
      <c r="Y38" s="1"/>
      <c r="Z38" s="1"/>
      <c r="AA38" s="49">
        <v>29.0</v>
      </c>
      <c r="AB38" s="47">
        <f t="shared" si="6"/>
        <v>3.21991E+34</v>
      </c>
      <c r="AC38" s="1"/>
    </row>
    <row r="39">
      <c r="G39" s="32">
        <v>30.0</v>
      </c>
      <c r="H39" s="42">
        <f t="shared" si="1"/>
        <v>344010.0917</v>
      </c>
      <c r="K39" s="32">
        <v>30.0</v>
      </c>
      <c r="L39" s="42">
        <f t="shared" si="2"/>
        <v>2.06839E+18</v>
      </c>
      <c r="P39" s="42"/>
      <c r="R39" s="1"/>
      <c r="S39" s="49">
        <v>30.0</v>
      </c>
      <c r="T39" s="47">
        <f t="shared" si="4"/>
        <v>4.11782E+21</v>
      </c>
      <c r="U39" s="1"/>
      <c r="V39" s="1"/>
      <c r="W39" s="49">
        <v>30.0</v>
      </c>
      <c r="X39" s="47" t="s">
        <v>97</v>
      </c>
      <c r="Y39" s="1"/>
      <c r="Z39" s="1"/>
      <c r="AA39" s="49">
        <v>30.0</v>
      </c>
      <c r="AB39" s="47" t="s">
        <v>97</v>
      </c>
      <c r="AC39" s="1"/>
    </row>
    <row r="40">
      <c r="G40" s="32">
        <v>31.0</v>
      </c>
      <c r="H40" s="42">
        <f t="shared" si="1"/>
        <v>531598.7947</v>
      </c>
      <c r="K40" s="32">
        <v>31.0</v>
      </c>
      <c r="L40" s="42">
        <f t="shared" si="2"/>
        <v>8.52344E+18</v>
      </c>
      <c r="P40" s="42"/>
      <c r="R40" s="1"/>
      <c r="S40" s="49">
        <v>31.0</v>
      </c>
      <c r="T40" s="47">
        <f t="shared" si="4"/>
        <v>1.23535E+22</v>
      </c>
      <c r="U40" s="1"/>
      <c r="V40" s="1"/>
      <c r="W40" s="49"/>
      <c r="X40" s="47" t="s">
        <v>97</v>
      </c>
      <c r="Y40" s="1"/>
      <c r="Z40" s="1"/>
      <c r="AA40" s="49"/>
      <c r="AB40" s="47" t="s">
        <v>97</v>
      </c>
      <c r="AC40" s="1"/>
    </row>
    <row r="41">
      <c r="G41" s="32">
        <v>32.0</v>
      </c>
      <c r="H41" s="42">
        <f t="shared" si="1"/>
        <v>821479.6175</v>
      </c>
      <c r="K41" s="32">
        <v>32.0</v>
      </c>
      <c r="L41" s="42">
        <f t="shared" si="2"/>
        <v>3.51234E+19</v>
      </c>
      <c r="P41" s="42"/>
      <c r="R41" s="1"/>
      <c r="S41" s="49">
        <v>32.0</v>
      </c>
      <c r="T41" s="47">
        <f t="shared" si="4"/>
        <v>3.70604E+22</v>
      </c>
      <c r="U41" s="1"/>
      <c r="V41" s="1"/>
      <c r="W41" s="49"/>
      <c r="X41" s="47" t="s">
        <v>97</v>
      </c>
      <c r="Y41" s="1"/>
      <c r="Z41" s="1"/>
      <c r="AA41" s="49"/>
      <c r="AB41" s="47" t="s">
        <v>97</v>
      </c>
      <c r="AC41" s="1"/>
    </row>
    <row r="42">
      <c r="G42" s="32">
        <v>33.0</v>
      </c>
      <c r="H42" s="42">
        <f t="shared" si="1"/>
        <v>1269432.453</v>
      </c>
      <c r="K42" s="32">
        <v>33.0</v>
      </c>
      <c r="L42" s="42">
        <f t="shared" si="2"/>
        <v>1.44736E+20</v>
      </c>
      <c r="P42" s="42"/>
      <c r="R42" s="1"/>
      <c r="S42" s="49">
        <v>33.0</v>
      </c>
      <c r="T42" s="47">
        <f t="shared" si="4"/>
        <v>1.11181E+23</v>
      </c>
      <c r="U42" s="1"/>
      <c r="V42" s="1"/>
      <c r="W42" s="49"/>
      <c r="X42" s="47" t="s">
        <v>97</v>
      </c>
      <c r="Y42" s="1"/>
      <c r="Z42" s="1"/>
      <c r="AA42" s="49"/>
      <c r="AB42" s="47" t="s">
        <v>97</v>
      </c>
      <c r="AC42" s="1"/>
    </row>
    <row r="43">
      <c r="G43" s="32">
        <v>34.0</v>
      </c>
      <c r="H43" s="42">
        <f t="shared" si="1"/>
        <v>1961653.969</v>
      </c>
      <c r="K43" s="32">
        <v>34.0</v>
      </c>
      <c r="L43" s="42">
        <f t="shared" si="2"/>
        <v>5.9643E+20</v>
      </c>
      <c r="P43" s="42"/>
      <c r="R43" s="1"/>
      <c r="S43" s="49">
        <v>34.0</v>
      </c>
      <c r="T43" s="47">
        <f t="shared" si="4"/>
        <v>3.33544E+23</v>
      </c>
      <c r="U43" s="1"/>
      <c r="V43" s="1"/>
      <c r="W43" s="49"/>
      <c r="X43" s="47" t="s">
        <v>97</v>
      </c>
      <c r="Y43" s="1"/>
      <c r="Z43" s="1"/>
      <c r="AA43" s="49"/>
      <c r="AB43" s="47" t="s">
        <v>97</v>
      </c>
      <c r="AC43" s="1"/>
    </row>
    <row r="44">
      <c r="G44" s="32">
        <v>35.0</v>
      </c>
      <c r="H44" s="42">
        <f t="shared" si="1"/>
        <v>3031343.879</v>
      </c>
      <c r="K44" s="32">
        <v>35.0</v>
      </c>
      <c r="L44" s="42">
        <f t="shared" si="2"/>
        <v>2.45777E+21</v>
      </c>
      <c r="P44" s="42"/>
      <c r="R44" s="1"/>
      <c r="S44" s="49">
        <v>35.0</v>
      </c>
      <c r="T44" s="47">
        <f t="shared" si="4"/>
        <v>1.00063E+24</v>
      </c>
      <c r="U44" s="1"/>
      <c r="V44" s="1"/>
      <c r="W44" s="49"/>
      <c r="X44" s="47" t="s">
        <v>97</v>
      </c>
      <c r="Y44" s="1"/>
      <c r="Z44" s="1"/>
      <c r="AA44" s="49"/>
      <c r="AB44" s="47" t="s">
        <v>97</v>
      </c>
      <c r="AC44" s="1"/>
    </row>
    <row r="45">
      <c r="G45" s="32">
        <v>36.0</v>
      </c>
      <c r="H45" s="42">
        <f t="shared" si="1"/>
        <v>4684335.696</v>
      </c>
      <c r="K45" s="32">
        <v>36.0</v>
      </c>
      <c r="L45" s="42">
        <f t="shared" si="2"/>
        <v>1.0128E+22</v>
      </c>
      <c r="P45" s="42"/>
      <c r="R45" s="1"/>
      <c r="S45" s="49">
        <v>36.0</v>
      </c>
      <c r="T45" s="47">
        <f t="shared" si="4"/>
        <v>3.00189E+24</v>
      </c>
      <c r="U45" s="1"/>
      <c r="V45" s="1"/>
      <c r="W45" s="49"/>
      <c r="X45" s="47" t="s">
        <v>97</v>
      </c>
      <c r="Y45" s="1"/>
      <c r="Z45" s="1"/>
      <c r="AA45" s="49"/>
      <c r="AB45" s="47" t="s">
        <v>97</v>
      </c>
      <c r="AC45" s="1"/>
    </row>
    <row r="46">
      <c r="G46" s="32">
        <v>37.0</v>
      </c>
      <c r="H46" s="42">
        <f t="shared" si="1"/>
        <v>7238703.951</v>
      </c>
      <c r="K46" s="32">
        <v>37.0</v>
      </c>
      <c r="L46" s="42">
        <f t="shared" si="2"/>
        <v>4.17353E+22</v>
      </c>
      <c r="P46" s="42"/>
      <c r="R46" s="1"/>
      <c r="S46" s="49">
        <v>37.0</v>
      </c>
      <c r="T46" s="47">
        <f t="shared" si="4"/>
        <v>9.00568E+24</v>
      </c>
      <c r="U46" s="1"/>
      <c r="V46" s="1"/>
      <c r="W46" s="49"/>
      <c r="X46" s="47" t="s">
        <v>97</v>
      </c>
      <c r="Y46" s="1"/>
      <c r="Z46" s="1"/>
      <c r="AA46" s="49"/>
      <c r="AB46" s="47" t="s">
        <v>97</v>
      </c>
      <c r="AC46" s="1"/>
    </row>
    <row r="47">
      <c r="G47" s="32">
        <v>38.0</v>
      </c>
      <c r="H47" s="42">
        <f t="shared" si="1"/>
        <v>11185969.22</v>
      </c>
      <c r="K47" s="32">
        <v>38.0</v>
      </c>
      <c r="L47" s="42">
        <f t="shared" si="2"/>
        <v>1.71983E+23</v>
      </c>
      <c r="P47" s="42"/>
      <c r="R47" s="1"/>
      <c r="S47" s="49">
        <v>38.0</v>
      </c>
      <c r="T47" s="47">
        <f t="shared" si="4"/>
        <v>2.7017E+25</v>
      </c>
      <c r="U47" s="1"/>
      <c r="V47" s="1"/>
      <c r="W47" s="49"/>
      <c r="X47" s="47" t="s">
        <v>97</v>
      </c>
      <c r="Y47" s="1"/>
      <c r="Z47" s="1"/>
      <c r="AA47" s="49"/>
      <c r="AB47" s="47" t="s">
        <v>97</v>
      </c>
      <c r="AC47" s="1"/>
    </row>
    <row r="48">
      <c r="G48" s="32">
        <v>39.0</v>
      </c>
      <c r="H48" s="42">
        <f t="shared" si="1"/>
        <v>17285678.23</v>
      </c>
      <c r="K48" s="32">
        <v>39.0</v>
      </c>
      <c r="L48" s="42">
        <f t="shared" si="2"/>
        <v>7.08707E+23</v>
      </c>
      <c r="P48" s="42"/>
      <c r="R48" s="1"/>
      <c r="S48" s="49">
        <v>39.0</v>
      </c>
      <c r="T48" s="47">
        <f t="shared" si="4"/>
        <v>8.10511E+25</v>
      </c>
      <c r="U48" s="1"/>
      <c r="V48" s="1"/>
      <c r="W48" s="49"/>
      <c r="X48" s="47" t="s">
        <v>97</v>
      </c>
      <c r="Y48" s="1"/>
      <c r="Z48" s="1"/>
      <c r="AA48" s="49"/>
      <c r="AB48" s="47" t="s">
        <v>97</v>
      </c>
      <c r="AC48" s="1"/>
    </row>
    <row r="49">
      <c r="G49" s="32">
        <v>40.0</v>
      </c>
      <c r="H49" s="42">
        <f t="shared" si="1"/>
        <v>27512905.33</v>
      </c>
      <c r="K49" s="32">
        <v>40.0</v>
      </c>
      <c r="L49" s="42">
        <f t="shared" si="2"/>
        <v>3.00805E+24</v>
      </c>
      <c r="P49" s="42"/>
      <c r="R49" s="1"/>
      <c r="S49" s="49">
        <v>40.0</v>
      </c>
      <c r="T49" s="47">
        <f t="shared" si="4"/>
        <v>2.43153E+26</v>
      </c>
      <c r="U49" s="1"/>
      <c r="V49" s="1"/>
      <c r="W49" s="49"/>
      <c r="X49" s="47" t="s">
        <v>97</v>
      </c>
      <c r="Y49" s="1"/>
      <c r="Z49" s="1"/>
      <c r="AA49" s="49"/>
      <c r="AB49" s="47" t="s">
        <v>97</v>
      </c>
      <c r="AC49" s="1"/>
    </row>
    <row r="50">
      <c r="G50" s="32">
        <v>41.0</v>
      </c>
      <c r="H50" s="42">
        <f t="shared" si="1"/>
        <v>43791163.38</v>
      </c>
      <c r="K50" s="32">
        <v>41.0</v>
      </c>
      <c r="L50" s="42">
        <f t="shared" si="2"/>
        <v>1.27675E+25</v>
      </c>
      <c r="P50" s="42"/>
      <c r="R50" s="1"/>
      <c r="S50" s="49">
        <v>41.0</v>
      </c>
      <c r="T50" s="47">
        <f t="shared" si="4"/>
        <v>7.2946E+26</v>
      </c>
      <c r="U50" s="1"/>
      <c r="V50" s="1"/>
      <c r="W50" s="49"/>
      <c r="X50" s="47" t="s">
        <v>97</v>
      </c>
      <c r="Y50" s="1"/>
      <c r="Z50" s="1"/>
      <c r="AA50" s="49"/>
      <c r="AB50" s="47" t="s">
        <v>97</v>
      </c>
      <c r="AC50" s="1"/>
    </row>
    <row r="51">
      <c r="G51" s="32">
        <v>42.0</v>
      </c>
      <c r="H51" s="42">
        <f t="shared" si="1"/>
        <v>69700599.31</v>
      </c>
      <c r="K51" s="32">
        <v>42.0</v>
      </c>
      <c r="L51" s="42">
        <f t="shared" si="2"/>
        <v>5.41905E+25</v>
      </c>
      <c r="P51" s="42"/>
      <c r="R51" s="1"/>
      <c r="S51" s="49">
        <v>42.0</v>
      </c>
      <c r="T51" s="47">
        <f t="shared" si="4"/>
        <v>2.18838E+27</v>
      </c>
      <c r="U51" s="1"/>
      <c r="V51" s="1"/>
      <c r="W51" s="49"/>
      <c r="X51" s="47" t="s">
        <v>97</v>
      </c>
      <c r="Y51" s="1"/>
      <c r="Z51" s="1"/>
      <c r="AA51" s="49"/>
      <c r="AB51" s="47" t="s">
        <v>97</v>
      </c>
      <c r="AC51" s="1"/>
    </row>
    <row r="52">
      <c r="G52" s="32">
        <v>43.0</v>
      </c>
      <c r="H52" s="42">
        <f t="shared" si="1"/>
        <v>110939586.2</v>
      </c>
      <c r="K52" s="32">
        <v>43.0</v>
      </c>
      <c r="L52" s="42">
        <f t="shared" si="2"/>
        <v>2.30008E+26</v>
      </c>
      <c r="P52" s="42"/>
      <c r="R52" s="1"/>
      <c r="S52" s="49">
        <v>43.0</v>
      </c>
      <c r="T52" s="47">
        <f t="shared" si="4"/>
        <v>6.56514E+27</v>
      </c>
      <c r="U52" s="1"/>
      <c r="V52" s="1"/>
      <c r="W52" s="49"/>
      <c r="X52" s="47" t="s">
        <v>97</v>
      </c>
      <c r="Y52" s="1"/>
      <c r="Z52" s="1"/>
      <c r="AA52" s="49"/>
      <c r="AB52" s="47" t="s">
        <v>97</v>
      </c>
      <c r="AC52" s="1"/>
    </row>
    <row r="53">
      <c r="G53" s="32">
        <v>44.0</v>
      </c>
      <c r="H53" s="42">
        <f t="shared" si="1"/>
        <v>176577990.8</v>
      </c>
      <c r="K53" s="32">
        <v>44.0</v>
      </c>
      <c r="L53" s="42">
        <f t="shared" si="2"/>
        <v>9.76249E+26</v>
      </c>
      <c r="P53" s="42"/>
      <c r="R53" s="1"/>
      <c r="S53" s="49">
        <v>44.0</v>
      </c>
      <c r="T53" s="47">
        <f t="shared" si="4"/>
        <v>1.96954E+28</v>
      </c>
      <c r="U53" s="1"/>
      <c r="V53" s="1"/>
      <c r="W53" s="49"/>
      <c r="X53" s="47" t="s">
        <v>97</v>
      </c>
      <c r="Y53" s="1"/>
      <c r="Z53" s="1"/>
      <c r="AA53" s="49"/>
      <c r="AB53" s="47" t="s">
        <v>97</v>
      </c>
      <c r="AC53" s="1"/>
    </row>
    <row r="54">
      <c r="G54" s="32">
        <v>45.0</v>
      </c>
      <c r="H54" s="42">
        <f t="shared" si="1"/>
        <v>281051948.3</v>
      </c>
      <c r="K54" s="32">
        <v>45.0</v>
      </c>
      <c r="L54" s="42">
        <f t="shared" si="2"/>
        <v>4.14362E+27</v>
      </c>
      <c r="P54" s="42"/>
      <c r="R54" s="1"/>
      <c r="S54" s="49">
        <v>45.0</v>
      </c>
      <c r="T54" s="47">
        <f t="shared" si="4"/>
        <v>5.90863E+28</v>
      </c>
      <c r="U54" s="1"/>
      <c r="V54" s="1"/>
      <c r="W54" s="49"/>
      <c r="X54" s="47" t="s">
        <v>97</v>
      </c>
      <c r="Y54" s="1"/>
      <c r="Z54" s="1"/>
      <c r="AA54" s="49"/>
      <c r="AB54" s="47" t="s">
        <v>97</v>
      </c>
      <c r="AC54" s="1"/>
    </row>
    <row r="55">
      <c r="G55" s="32">
        <v>46.0</v>
      </c>
      <c r="H55" s="42">
        <f t="shared" si="1"/>
        <v>447338863</v>
      </c>
      <c r="K55" s="32">
        <v>46.0</v>
      </c>
      <c r="L55" s="42">
        <f t="shared" si="2"/>
        <v>1.75873E+28</v>
      </c>
      <c r="P55" s="42"/>
      <c r="R55" s="1"/>
      <c r="S55" s="49">
        <v>46.0</v>
      </c>
      <c r="T55" s="47">
        <f t="shared" si="4"/>
        <v>1.77259E+29</v>
      </c>
      <c r="U55" s="1"/>
      <c r="V55" s="1"/>
      <c r="W55" s="49"/>
      <c r="X55" s="47" t="s">
        <v>97</v>
      </c>
      <c r="Y55" s="1"/>
      <c r="Z55" s="1"/>
      <c r="AA55" s="49"/>
      <c r="AB55" s="47" t="s">
        <v>97</v>
      </c>
      <c r="AC55" s="1"/>
    </row>
    <row r="56">
      <c r="G56" s="32">
        <v>47.0</v>
      </c>
      <c r="H56" s="42">
        <f t="shared" si="1"/>
        <v>712010927.3</v>
      </c>
      <c r="K56" s="32">
        <v>47.0</v>
      </c>
      <c r="L56" s="42">
        <f t="shared" si="2"/>
        <v>7.46478E+28</v>
      </c>
      <c r="P56" s="42"/>
      <c r="R56" s="1"/>
      <c r="S56" s="49">
        <v>47.0</v>
      </c>
      <c r="T56" s="47">
        <f t="shared" si="4"/>
        <v>5.31776E+29</v>
      </c>
      <c r="U56" s="1"/>
      <c r="V56" s="1"/>
      <c r="W56" s="49"/>
      <c r="X56" s="47" t="s">
        <v>97</v>
      </c>
      <c r="Y56" s="1"/>
      <c r="Z56" s="1"/>
      <c r="AA56" s="49"/>
      <c r="AB56" s="47" t="s">
        <v>97</v>
      </c>
      <c r="AC56" s="1"/>
    </row>
    <row r="57">
      <c r="G57" s="32">
        <v>48.0</v>
      </c>
      <c r="H57" s="42">
        <f t="shared" si="1"/>
        <v>1133278601</v>
      </c>
      <c r="K57" s="32">
        <v>48.0</v>
      </c>
      <c r="L57" s="42">
        <f t="shared" si="2"/>
        <v>3.16837E+29</v>
      </c>
      <c r="P57" s="42"/>
      <c r="R57" s="1"/>
      <c r="S57" s="49">
        <v>48.0</v>
      </c>
      <c r="T57" s="47">
        <f t="shared" si="4"/>
        <v>1.59533E+30</v>
      </c>
      <c r="U57" s="1"/>
      <c r="V57" s="1"/>
      <c r="W57" s="49"/>
      <c r="X57" s="47" t="s">
        <v>97</v>
      </c>
      <c r="Y57" s="1"/>
      <c r="Z57" s="1"/>
      <c r="AA57" s="49"/>
      <c r="AB57" s="47" t="s">
        <v>97</v>
      </c>
      <c r="AC57" s="1"/>
    </row>
    <row r="58">
      <c r="G58" s="32">
        <v>49.0</v>
      </c>
      <c r="H58" s="42">
        <f t="shared" si="1"/>
        <v>1803793084</v>
      </c>
      <c r="K58" s="32">
        <v>49.0</v>
      </c>
      <c r="L58" s="42">
        <f t="shared" si="2"/>
        <v>1.34479E+30</v>
      </c>
      <c r="P58" s="42"/>
      <c r="R58" s="1"/>
      <c r="S58" s="49">
        <v>49.0</v>
      </c>
      <c r="T58" s="47">
        <f t="shared" si="4"/>
        <v>4.78599E+30</v>
      </c>
      <c r="U58" s="1"/>
      <c r="V58" s="1"/>
      <c r="W58" s="49"/>
      <c r="X58" s="47" t="s">
        <v>97</v>
      </c>
      <c r="Y58" s="1"/>
      <c r="Z58" s="1"/>
      <c r="AA58" s="49"/>
      <c r="AB58" s="47" t="s">
        <v>97</v>
      </c>
      <c r="AC58" s="1"/>
    </row>
    <row r="59">
      <c r="G59" s="32">
        <v>50.0</v>
      </c>
      <c r="H59" s="32" t="s">
        <v>97</v>
      </c>
      <c r="K59" s="32">
        <v>50.0</v>
      </c>
      <c r="L59" s="40" t="s">
        <v>97</v>
      </c>
      <c r="P59" s="31"/>
      <c r="R59" s="1"/>
      <c r="S59" s="49">
        <v>50.0</v>
      </c>
      <c r="T59" s="47">
        <f t="shared" si="4"/>
        <v>1.4358E+31</v>
      </c>
      <c r="U59" s="1"/>
      <c r="V59" s="1"/>
      <c r="W59" s="1"/>
      <c r="X59" s="47" t="s">
        <v>97</v>
      </c>
      <c r="Y59" s="1"/>
      <c r="Z59" s="1"/>
      <c r="AA59" s="49"/>
      <c r="AB59" s="47" t="s">
        <v>97</v>
      </c>
      <c r="AC59" s="1"/>
    </row>
    <row r="60">
      <c r="H60" s="32" t="s">
        <v>97</v>
      </c>
      <c r="L60" s="40" t="s">
        <v>97</v>
      </c>
      <c r="P60" s="31"/>
      <c r="R60" s="1"/>
      <c r="S60" s="49">
        <v>51.0</v>
      </c>
      <c r="T60" s="47">
        <f t="shared" si="4"/>
        <v>4.30739E+31</v>
      </c>
      <c r="U60" s="1"/>
      <c r="V60" s="1"/>
      <c r="W60" s="1"/>
      <c r="X60" s="47" t="s">
        <v>97</v>
      </c>
      <c r="Y60" s="1"/>
      <c r="Z60" s="1"/>
      <c r="AA60" s="49"/>
      <c r="AB60" s="47" t="s">
        <v>97</v>
      </c>
      <c r="AC60" s="1"/>
    </row>
    <row r="61">
      <c r="H61" s="32" t="s">
        <v>97</v>
      </c>
      <c r="L61" s="40" t="s">
        <v>97</v>
      </c>
      <c r="P61" s="31"/>
      <c r="R61" s="1"/>
      <c r="S61" s="49">
        <v>52.0</v>
      </c>
      <c r="T61" s="47">
        <f t="shared" si="4"/>
        <v>1.29222E+32</v>
      </c>
      <c r="U61" s="1"/>
      <c r="V61" s="1"/>
      <c r="W61" s="1"/>
      <c r="X61" s="47" t="s">
        <v>97</v>
      </c>
      <c r="Y61" s="1"/>
      <c r="Z61" s="1"/>
      <c r="AA61" s="49"/>
      <c r="AB61" s="47" t="s">
        <v>97</v>
      </c>
      <c r="AC61" s="1"/>
    </row>
    <row r="62">
      <c r="H62" s="32" t="s">
        <v>97</v>
      </c>
      <c r="L62" s="40" t="s">
        <v>97</v>
      </c>
      <c r="P62" s="31"/>
      <c r="R62" s="1"/>
      <c r="S62" s="49">
        <v>53.0</v>
      </c>
      <c r="T62" s="47">
        <f t="shared" si="4"/>
        <v>3.87665E+32</v>
      </c>
      <c r="U62" s="1"/>
      <c r="V62" s="1"/>
      <c r="W62" s="1"/>
      <c r="X62" s="47" t="s">
        <v>97</v>
      </c>
      <c r="Y62" s="1"/>
      <c r="Z62" s="1"/>
      <c r="AA62" s="49"/>
      <c r="AB62" s="47" t="s">
        <v>97</v>
      </c>
      <c r="AC62" s="1"/>
    </row>
    <row r="63">
      <c r="H63" s="32" t="s">
        <v>97</v>
      </c>
      <c r="L63" s="40" t="s">
        <v>97</v>
      </c>
      <c r="P63" s="31"/>
      <c r="R63" s="1"/>
      <c r="S63" s="49">
        <v>54.0</v>
      </c>
      <c r="T63" s="47">
        <f t="shared" si="4"/>
        <v>1.16299E+33</v>
      </c>
      <c r="U63" s="1"/>
      <c r="V63" s="1"/>
      <c r="W63" s="1"/>
      <c r="X63" s="47" t="s">
        <v>97</v>
      </c>
      <c r="Y63" s="1"/>
      <c r="Z63" s="1"/>
      <c r="AA63" s="49"/>
      <c r="AB63" s="47" t="s">
        <v>97</v>
      </c>
      <c r="AC63" s="1"/>
    </row>
    <row r="64">
      <c r="H64" s="32" t="s">
        <v>97</v>
      </c>
      <c r="L64" s="40" t="s">
        <v>97</v>
      </c>
      <c r="P64" s="31"/>
      <c r="R64" s="1"/>
      <c r="S64" s="49">
        <v>55.0</v>
      </c>
      <c r="T64" s="47">
        <f t="shared" si="4"/>
        <v>3.48898E+33</v>
      </c>
      <c r="U64" s="1"/>
      <c r="V64" s="1"/>
      <c r="W64" s="1"/>
      <c r="X64" s="47" t="s">
        <v>97</v>
      </c>
      <c r="Y64" s="1"/>
      <c r="Z64" s="1"/>
      <c r="AA64" s="49"/>
      <c r="AB64" s="47" t="s">
        <v>97</v>
      </c>
      <c r="AC64" s="1"/>
    </row>
    <row r="65">
      <c r="H65" s="32" t="s">
        <v>97</v>
      </c>
      <c r="L65" s="40" t="s">
        <v>97</v>
      </c>
      <c r="P65" s="31"/>
      <c r="R65" s="1"/>
      <c r="S65" s="49">
        <v>56.0</v>
      </c>
      <c r="T65" s="47">
        <f t="shared" si="4"/>
        <v>1.0467E+34</v>
      </c>
      <c r="U65" s="1"/>
      <c r="V65" s="1"/>
      <c r="W65" s="1"/>
      <c r="X65" s="47" t="s">
        <v>97</v>
      </c>
      <c r="Y65" s="1"/>
      <c r="Z65" s="1"/>
      <c r="AA65" s="49"/>
      <c r="AB65" s="47" t="s">
        <v>97</v>
      </c>
      <c r="AC65" s="1"/>
    </row>
    <row r="66">
      <c r="H66" s="32" t="s">
        <v>97</v>
      </c>
      <c r="L66" s="40" t="s">
        <v>97</v>
      </c>
      <c r="P66" s="31"/>
      <c r="R66" s="1"/>
      <c r="S66" s="49">
        <v>57.0</v>
      </c>
      <c r="T66" s="47">
        <f t="shared" si="4"/>
        <v>3.14009E+34</v>
      </c>
      <c r="U66" s="1"/>
      <c r="V66" s="1"/>
      <c r="W66" s="1"/>
      <c r="X66" s="47" t="s">
        <v>97</v>
      </c>
      <c r="Y66" s="1"/>
      <c r="Z66" s="1"/>
      <c r="AA66" s="49"/>
      <c r="AB66" s="47" t="s">
        <v>97</v>
      </c>
      <c r="AC66" s="1"/>
    </row>
    <row r="67">
      <c r="H67" s="32" t="s">
        <v>97</v>
      </c>
      <c r="L67" s="40" t="s">
        <v>97</v>
      </c>
      <c r="P67" s="31"/>
      <c r="R67" s="1"/>
      <c r="S67" s="49">
        <v>58.0</v>
      </c>
      <c r="T67" s="47">
        <f t="shared" si="4"/>
        <v>9.42026E+34</v>
      </c>
      <c r="U67" s="1"/>
      <c r="V67" s="1"/>
      <c r="W67" s="1"/>
      <c r="X67" s="47" t="s">
        <v>97</v>
      </c>
      <c r="Y67" s="1"/>
      <c r="Z67" s="1"/>
      <c r="AA67" s="49"/>
      <c r="AB67" s="47" t="s">
        <v>97</v>
      </c>
      <c r="AC67" s="1"/>
    </row>
    <row r="68">
      <c r="H68" s="32" t="s">
        <v>97</v>
      </c>
      <c r="L68" s="40" t="s">
        <v>97</v>
      </c>
      <c r="P68" s="31"/>
      <c r="R68" s="1"/>
      <c r="S68" s="49">
        <v>59.0</v>
      </c>
      <c r="T68" s="47">
        <f t="shared" si="4"/>
        <v>2.82608E+35</v>
      </c>
      <c r="U68" s="1"/>
      <c r="V68" s="1"/>
      <c r="W68" s="1"/>
      <c r="X68" s="47" t="s">
        <v>97</v>
      </c>
      <c r="Y68" s="1"/>
      <c r="Z68" s="1"/>
      <c r="AA68" s="49"/>
      <c r="AB68" s="47" t="s">
        <v>97</v>
      </c>
      <c r="AC68" s="1"/>
    </row>
    <row r="69">
      <c r="H69" s="32" t="s">
        <v>97</v>
      </c>
      <c r="L69" s="40" t="s">
        <v>97</v>
      </c>
      <c r="P69" s="31"/>
      <c r="R69" s="1"/>
      <c r="S69" s="49">
        <v>60.0</v>
      </c>
      <c r="T69" s="47">
        <f t="shared" si="4"/>
        <v>8.47823E+35</v>
      </c>
      <c r="U69" s="1"/>
      <c r="V69" s="1"/>
      <c r="W69" s="1"/>
      <c r="X69" s="47" t="s">
        <v>97</v>
      </c>
      <c r="Y69" s="1"/>
      <c r="Z69" s="1"/>
      <c r="AA69" s="49"/>
      <c r="AB69" s="47" t="s">
        <v>97</v>
      </c>
      <c r="AC69" s="1"/>
    </row>
    <row r="70">
      <c r="H70" s="32" t="s">
        <v>97</v>
      </c>
      <c r="L70" s="40" t="s">
        <v>97</v>
      </c>
      <c r="P70" s="31"/>
      <c r="R70" s="1"/>
      <c r="S70" s="49">
        <v>61.0</v>
      </c>
      <c r="T70" s="47">
        <f t="shared" si="4"/>
        <v>2.54347E+36</v>
      </c>
      <c r="U70" s="1"/>
      <c r="V70" s="1"/>
      <c r="W70" s="1"/>
      <c r="X70" s="47" t="s">
        <v>97</v>
      </c>
      <c r="Y70" s="1"/>
      <c r="Z70" s="1"/>
      <c r="AA70" s="49"/>
      <c r="AB70" s="47" t="s">
        <v>97</v>
      </c>
      <c r="AC70" s="1"/>
    </row>
    <row r="71">
      <c r="H71" s="32" t="s">
        <v>97</v>
      </c>
      <c r="L71" s="40" t="s">
        <v>97</v>
      </c>
      <c r="P71" s="31"/>
      <c r="R71" s="1"/>
      <c r="S71" s="49">
        <v>62.0</v>
      </c>
      <c r="T71" s="47">
        <f t="shared" si="4"/>
        <v>7.63041E+36</v>
      </c>
      <c r="U71" s="1"/>
      <c r="V71" s="1"/>
      <c r="W71" s="1"/>
      <c r="X71" s="47" t="s">
        <v>97</v>
      </c>
      <c r="Y71" s="1"/>
      <c r="Z71" s="1"/>
      <c r="AA71" s="49"/>
      <c r="AB71" s="47" t="s">
        <v>97</v>
      </c>
      <c r="AC71" s="1"/>
    </row>
    <row r="72">
      <c r="H72" s="32" t="s">
        <v>97</v>
      </c>
      <c r="L72" s="40" t="s">
        <v>97</v>
      </c>
      <c r="P72" s="31"/>
      <c r="R72" s="1"/>
      <c r="S72" s="49">
        <v>63.0</v>
      </c>
      <c r="T72" s="47">
        <f t="shared" si="4"/>
        <v>2.28912E+37</v>
      </c>
      <c r="U72" s="1"/>
      <c r="V72" s="1"/>
      <c r="W72" s="1"/>
      <c r="X72" s="47" t="s">
        <v>97</v>
      </c>
      <c r="Y72" s="1"/>
      <c r="Z72" s="1"/>
      <c r="AA72" s="49"/>
      <c r="AB72" s="47" t="s">
        <v>97</v>
      </c>
      <c r="AC72" s="1"/>
    </row>
    <row r="73">
      <c r="H73" s="32" t="s">
        <v>97</v>
      </c>
      <c r="L73" s="40" t="s">
        <v>97</v>
      </c>
      <c r="P73" s="31"/>
      <c r="R73" s="1"/>
      <c r="S73" s="49">
        <v>64.0</v>
      </c>
      <c r="T73" s="47">
        <f t="shared" si="4"/>
        <v>6.86737E+37</v>
      </c>
      <c r="U73" s="1"/>
      <c r="V73" s="1"/>
      <c r="W73" s="1"/>
      <c r="X73" s="47" t="s">
        <v>97</v>
      </c>
      <c r="Y73" s="1"/>
      <c r="Z73" s="1"/>
      <c r="AA73" s="49"/>
      <c r="AB73" s="47" t="s">
        <v>97</v>
      </c>
      <c r="AC73" s="1"/>
    </row>
    <row r="74">
      <c r="H74" s="32" t="s">
        <v>97</v>
      </c>
      <c r="L74" s="40" t="s">
        <v>97</v>
      </c>
      <c r="P74" s="31"/>
      <c r="R74" s="1"/>
      <c r="S74" s="49">
        <v>65.0</v>
      </c>
      <c r="T74" s="47">
        <f t="shared" si="4"/>
        <v>2.06021E+38</v>
      </c>
      <c r="U74" s="1"/>
      <c r="V74" s="1"/>
      <c r="W74" s="1"/>
      <c r="X74" s="47" t="s">
        <v>97</v>
      </c>
      <c r="Y74" s="1"/>
      <c r="Z74" s="1"/>
      <c r="AA74" s="49"/>
      <c r="AB74" s="47" t="s">
        <v>97</v>
      </c>
      <c r="AC74" s="1"/>
    </row>
    <row r="75">
      <c r="H75" s="32" t="s">
        <v>97</v>
      </c>
      <c r="L75" s="40" t="s">
        <v>97</v>
      </c>
      <c r="P75" s="31"/>
      <c r="R75" s="1"/>
      <c r="S75" s="49">
        <v>66.0</v>
      </c>
      <c r="T75" s="47">
        <f t="shared" si="4"/>
        <v>6.18063E+38</v>
      </c>
      <c r="U75" s="1"/>
      <c r="V75" s="1"/>
      <c r="W75" s="1"/>
      <c r="X75" s="47" t="s">
        <v>97</v>
      </c>
      <c r="Y75" s="1"/>
      <c r="Z75" s="1"/>
      <c r="AA75" s="49"/>
      <c r="AB75" s="47" t="s">
        <v>97</v>
      </c>
      <c r="AC75" s="1"/>
    </row>
    <row r="76">
      <c r="H76" s="32" t="s">
        <v>97</v>
      </c>
      <c r="L76" s="40" t="s">
        <v>97</v>
      </c>
      <c r="P76" s="31"/>
      <c r="R76" s="1"/>
      <c r="S76" s="49">
        <v>67.0</v>
      </c>
      <c r="T76" s="47">
        <f t="shared" si="4"/>
        <v>1.85419E+39</v>
      </c>
      <c r="U76" s="1"/>
      <c r="V76" s="1"/>
      <c r="W76" s="1"/>
      <c r="X76" s="47" t="s">
        <v>97</v>
      </c>
      <c r="Y76" s="1"/>
      <c r="Z76" s="1"/>
      <c r="AA76" s="49"/>
      <c r="AB76" s="47" t="s">
        <v>97</v>
      </c>
      <c r="AC76" s="1"/>
    </row>
    <row r="77">
      <c r="H77" s="32" t="s">
        <v>97</v>
      </c>
      <c r="L77" s="40" t="s">
        <v>97</v>
      </c>
      <c r="P77" s="31"/>
      <c r="R77" s="1"/>
      <c r="S77" s="49">
        <v>68.0</v>
      </c>
      <c r="T77" s="47">
        <f t="shared" si="4"/>
        <v>5.56257E+39</v>
      </c>
      <c r="U77" s="1"/>
      <c r="V77" s="1"/>
      <c r="W77" s="1"/>
      <c r="X77" s="47" t="s">
        <v>97</v>
      </c>
      <c r="Y77" s="1"/>
      <c r="Z77" s="1"/>
      <c r="AA77" s="49"/>
      <c r="AB77" s="47" t="s">
        <v>97</v>
      </c>
      <c r="AC77" s="1"/>
    </row>
    <row r="78">
      <c r="H78" s="32" t="s">
        <v>97</v>
      </c>
      <c r="L78" s="40" t="s">
        <v>97</v>
      </c>
      <c r="P78" s="31"/>
      <c r="R78" s="1"/>
      <c r="S78" s="49">
        <v>69.0</v>
      </c>
      <c r="T78" s="47">
        <f t="shared" si="4"/>
        <v>1.66877E+40</v>
      </c>
      <c r="U78" s="1"/>
      <c r="V78" s="1"/>
      <c r="W78" s="1"/>
      <c r="X78" s="47" t="s">
        <v>97</v>
      </c>
      <c r="Y78" s="1"/>
      <c r="Z78" s="1"/>
      <c r="AA78" s="49"/>
      <c r="AB78" s="47" t="s">
        <v>97</v>
      </c>
      <c r="AC78" s="1"/>
    </row>
    <row r="79">
      <c r="H79" s="32" t="s">
        <v>97</v>
      </c>
      <c r="L79" s="40" t="s">
        <v>97</v>
      </c>
      <c r="P79" s="31"/>
      <c r="R79" s="1"/>
      <c r="S79" s="49">
        <v>70.0</v>
      </c>
      <c r="T79" s="47">
        <f t="shared" si="4"/>
        <v>5.00631E+40</v>
      </c>
      <c r="U79" s="1"/>
      <c r="V79" s="1"/>
      <c r="W79" s="1"/>
      <c r="X79" s="47" t="s">
        <v>97</v>
      </c>
      <c r="Y79" s="1"/>
      <c r="Z79" s="1"/>
      <c r="AA79" s="49"/>
      <c r="AB79" s="47" t="s">
        <v>97</v>
      </c>
      <c r="AC79" s="1"/>
    </row>
    <row r="80">
      <c r="H80" s="32" t="s">
        <v>97</v>
      </c>
      <c r="L80" s="40" t="s">
        <v>97</v>
      </c>
      <c r="P80" s="31"/>
      <c r="R80" s="1"/>
      <c r="S80" s="49">
        <v>71.0</v>
      </c>
      <c r="T80" s="47">
        <f t="shared" si="4"/>
        <v>1.50189E+41</v>
      </c>
      <c r="U80" s="1"/>
      <c r="V80" s="1"/>
      <c r="W80" s="1"/>
      <c r="X80" s="47" t="s">
        <v>97</v>
      </c>
      <c r="Y80" s="1"/>
      <c r="Z80" s="1"/>
      <c r="AA80" s="49"/>
      <c r="AB80" s="47" t="s">
        <v>97</v>
      </c>
      <c r="AC80" s="1"/>
    </row>
    <row r="81">
      <c r="H81" s="32" t="s">
        <v>97</v>
      </c>
      <c r="L81" s="40" t="s">
        <v>97</v>
      </c>
      <c r="P81" s="31"/>
      <c r="R81" s="1"/>
      <c r="S81" s="49">
        <v>72.0</v>
      </c>
      <c r="T81" s="47">
        <f t="shared" si="4"/>
        <v>4.50568E+41</v>
      </c>
      <c r="U81" s="1"/>
      <c r="V81" s="1"/>
      <c r="W81" s="1"/>
      <c r="X81" s="47" t="s">
        <v>97</v>
      </c>
      <c r="Y81" s="1"/>
      <c r="Z81" s="1"/>
      <c r="AA81" s="49"/>
      <c r="AB81" s="47" t="s">
        <v>97</v>
      </c>
      <c r="AC81" s="1"/>
    </row>
    <row r="82">
      <c r="H82" s="32" t="s">
        <v>97</v>
      </c>
      <c r="L82" s="40" t="s">
        <v>97</v>
      </c>
      <c r="P82" s="31"/>
      <c r="R82" s="1"/>
      <c r="S82" s="49">
        <v>73.0</v>
      </c>
      <c r="T82" s="47">
        <f t="shared" si="4"/>
        <v>1.3517E+42</v>
      </c>
      <c r="U82" s="1"/>
      <c r="V82" s="1"/>
      <c r="W82" s="1"/>
      <c r="X82" s="47" t="s">
        <v>97</v>
      </c>
      <c r="Y82" s="1"/>
      <c r="Z82" s="1"/>
      <c r="AA82" s="49"/>
      <c r="AB82" s="47" t="s">
        <v>97</v>
      </c>
      <c r="AC82" s="1"/>
    </row>
    <row r="83">
      <c r="H83" s="32" t="s">
        <v>97</v>
      </c>
      <c r="L83" s="40" t="s">
        <v>97</v>
      </c>
      <c r="P83" s="31"/>
      <c r="R83" s="1"/>
      <c r="S83" s="49">
        <v>74.0</v>
      </c>
      <c r="T83" s="47">
        <f t="shared" si="4"/>
        <v>4.05511E+42</v>
      </c>
      <c r="U83" s="1"/>
      <c r="V83" s="1"/>
      <c r="W83" s="1"/>
      <c r="X83" s="47" t="s">
        <v>97</v>
      </c>
      <c r="Y83" s="1"/>
      <c r="Z83" s="1"/>
      <c r="AA83" s="49"/>
      <c r="AB83" s="47" t="s">
        <v>97</v>
      </c>
      <c r="AC83" s="1"/>
    </row>
    <row r="84">
      <c r="H84" s="32" t="s">
        <v>97</v>
      </c>
      <c r="L84" s="40" t="s">
        <v>97</v>
      </c>
      <c r="P84" s="31"/>
      <c r="R84" s="1"/>
      <c r="S84" s="49">
        <v>75.0</v>
      </c>
      <c r="T84" s="47">
        <f t="shared" si="4"/>
        <v>1.21653E+43</v>
      </c>
      <c r="U84" s="1"/>
      <c r="V84" s="1"/>
      <c r="W84" s="1"/>
      <c r="X84" s="47" t="s">
        <v>97</v>
      </c>
      <c r="Y84" s="1"/>
      <c r="Z84" s="1"/>
      <c r="AA84" s="49"/>
      <c r="AB84" s="47" t="s">
        <v>97</v>
      </c>
      <c r="AC84" s="1"/>
    </row>
    <row r="85">
      <c r="H85" s="32" t="s">
        <v>97</v>
      </c>
      <c r="L85" s="40" t="s">
        <v>97</v>
      </c>
      <c r="P85" s="31"/>
      <c r="R85" s="1"/>
      <c r="S85" s="49">
        <v>76.0</v>
      </c>
      <c r="T85" s="47">
        <f t="shared" si="4"/>
        <v>3.6496E+43</v>
      </c>
      <c r="U85" s="1"/>
      <c r="V85" s="1"/>
      <c r="W85" s="1"/>
      <c r="X85" s="47" t="s">
        <v>97</v>
      </c>
      <c r="Y85" s="1"/>
      <c r="Z85" s="1"/>
      <c r="AA85" s="49"/>
      <c r="AB85" s="47" t="s">
        <v>97</v>
      </c>
      <c r="AC85" s="1"/>
    </row>
    <row r="86">
      <c r="H86" s="32" t="s">
        <v>97</v>
      </c>
      <c r="L86" s="40" t="s">
        <v>97</v>
      </c>
      <c r="P86" s="31"/>
      <c r="R86" s="1"/>
      <c r="S86" s="49">
        <v>77.0</v>
      </c>
      <c r="T86" s="47">
        <f t="shared" si="4"/>
        <v>1.09488E+44</v>
      </c>
      <c r="U86" s="1"/>
      <c r="V86" s="1"/>
      <c r="W86" s="1"/>
      <c r="X86" s="47" t="s">
        <v>97</v>
      </c>
      <c r="Y86" s="1"/>
      <c r="Z86" s="1"/>
      <c r="AA86" s="49"/>
      <c r="AB86" s="47" t="s">
        <v>97</v>
      </c>
      <c r="AC86" s="1"/>
    </row>
    <row r="87">
      <c r="H87" s="32" t="s">
        <v>97</v>
      </c>
      <c r="L87" s="40" t="s">
        <v>97</v>
      </c>
      <c r="P87" s="31"/>
      <c r="R87" s="1"/>
      <c r="S87" s="49">
        <v>78.0</v>
      </c>
      <c r="T87" s="47">
        <f t="shared" si="4"/>
        <v>3.28464E+44</v>
      </c>
      <c r="U87" s="1"/>
      <c r="V87" s="1"/>
      <c r="W87" s="1"/>
      <c r="X87" s="47" t="s">
        <v>97</v>
      </c>
      <c r="Y87" s="1"/>
      <c r="Z87" s="1"/>
      <c r="AA87" s="49"/>
      <c r="AB87" s="47" t="s">
        <v>97</v>
      </c>
      <c r="AC87" s="1"/>
    </row>
    <row r="88">
      <c r="H88" s="32" t="s">
        <v>97</v>
      </c>
      <c r="L88" s="40" t="s">
        <v>97</v>
      </c>
      <c r="P88" s="31"/>
      <c r="R88" s="1"/>
      <c r="S88" s="49">
        <v>79.0</v>
      </c>
      <c r="T88" s="47">
        <f t="shared" si="4"/>
        <v>9.85392E+44</v>
      </c>
      <c r="U88" s="1"/>
      <c r="V88" s="1"/>
      <c r="W88" s="1"/>
      <c r="X88" s="47" t="s">
        <v>97</v>
      </c>
      <c r="Y88" s="1"/>
      <c r="Z88" s="1"/>
      <c r="AA88" s="49"/>
      <c r="AB88" s="47" t="s">
        <v>97</v>
      </c>
      <c r="AC88" s="1"/>
    </row>
    <row r="89">
      <c r="H89" s="32" t="s">
        <v>97</v>
      </c>
      <c r="L89" s="40" t="s">
        <v>97</v>
      </c>
      <c r="P89" s="31"/>
      <c r="R89" s="1"/>
      <c r="S89" s="49">
        <v>80.0</v>
      </c>
      <c r="T89" s="47">
        <f t="shared" si="4"/>
        <v>2.95618E+45</v>
      </c>
      <c r="U89" s="1"/>
      <c r="V89" s="1"/>
      <c r="W89" s="1"/>
      <c r="X89" s="47" t="s">
        <v>97</v>
      </c>
      <c r="Y89" s="1"/>
      <c r="Z89" s="1"/>
      <c r="AA89" s="49"/>
      <c r="AB89" s="47" t="s">
        <v>97</v>
      </c>
      <c r="AC89" s="1"/>
    </row>
    <row r="90">
      <c r="H90" s="32" t="s">
        <v>97</v>
      </c>
      <c r="L90" s="40" t="s">
        <v>97</v>
      </c>
      <c r="P90" s="31"/>
      <c r="R90" s="1"/>
      <c r="S90" s="49">
        <v>81.0</v>
      </c>
      <c r="T90" s="47">
        <f t="shared" si="4"/>
        <v>8.86853E+45</v>
      </c>
      <c r="U90" s="1"/>
      <c r="V90" s="1"/>
      <c r="W90" s="1"/>
      <c r="X90" s="47" t="s">
        <v>97</v>
      </c>
      <c r="Y90" s="1"/>
      <c r="Z90" s="1"/>
      <c r="AA90" s="49"/>
      <c r="AB90" s="47" t="s">
        <v>97</v>
      </c>
      <c r="AC90" s="1"/>
    </row>
    <row r="91">
      <c r="H91" s="32" t="s">
        <v>97</v>
      </c>
      <c r="L91" s="40" t="s">
        <v>97</v>
      </c>
      <c r="P91" s="31"/>
      <c r="R91" s="1"/>
      <c r="S91" s="49">
        <v>82.0</v>
      </c>
      <c r="T91" s="47">
        <f t="shared" si="4"/>
        <v>2.66056E+46</v>
      </c>
      <c r="U91" s="1"/>
      <c r="V91" s="1"/>
      <c r="W91" s="1"/>
      <c r="X91" s="47" t="s">
        <v>97</v>
      </c>
      <c r="Y91" s="1"/>
      <c r="Z91" s="1"/>
      <c r="AA91" s="49"/>
      <c r="AB91" s="47" t="s">
        <v>97</v>
      </c>
      <c r="AC91" s="1"/>
    </row>
    <row r="92">
      <c r="H92" s="32" t="s">
        <v>97</v>
      </c>
      <c r="L92" s="40" t="s">
        <v>97</v>
      </c>
      <c r="P92" s="31"/>
      <c r="R92" s="1"/>
      <c r="S92" s="49">
        <v>83.0</v>
      </c>
      <c r="T92" s="47">
        <f t="shared" si="4"/>
        <v>7.98168E+46</v>
      </c>
      <c r="U92" s="1"/>
      <c r="V92" s="1"/>
      <c r="W92" s="1"/>
      <c r="X92" s="47" t="s">
        <v>97</v>
      </c>
      <c r="Y92" s="1"/>
      <c r="Z92" s="1"/>
      <c r="AA92" s="49"/>
      <c r="AB92" s="47" t="s">
        <v>97</v>
      </c>
      <c r="AC92" s="1"/>
    </row>
    <row r="93">
      <c r="H93" s="32" t="s">
        <v>97</v>
      </c>
      <c r="L93" s="40" t="s">
        <v>97</v>
      </c>
      <c r="P93" s="31"/>
      <c r="R93" s="1"/>
      <c r="S93" s="49">
        <v>84.0</v>
      </c>
      <c r="T93" s="47">
        <f t="shared" si="4"/>
        <v>2.3945E+47</v>
      </c>
      <c r="U93" s="1"/>
      <c r="V93" s="1"/>
      <c r="W93" s="1"/>
      <c r="X93" s="47" t="s">
        <v>97</v>
      </c>
      <c r="Y93" s="1"/>
      <c r="Z93" s="1"/>
      <c r="AA93" s="49"/>
      <c r="AB93" s="47" t="s">
        <v>97</v>
      </c>
      <c r="AC93" s="1"/>
    </row>
    <row r="94">
      <c r="H94" s="32" t="s">
        <v>97</v>
      </c>
      <c r="L94" s="40" t="s">
        <v>97</v>
      </c>
      <c r="P94" s="31"/>
      <c r="R94" s="1"/>
      <c r="S94" s="49">
        <v>85.0</v>
      </c>
      <c r="T94" s="47">
        <f t="shared" si="4"/>
        <v>7.18351E+47</v>
      </c>
      <c r="U94" s="1"/>
      <c r="V94" s="1"/>
      <c r="W94" s="1"/>
      <c r="X94" s="47" t="s">
        <v>97</v>
      </c>
      <c r="Y94" s="1"/>
      <c r="Z94" s="1"/>
      <c r="AA94" s="49"/>
      <c r="AB94" s="47" t="s">
        <v>97</v>
      </c>
      <c r="AC94" s="1"/>
    </row>
    <row r="95">
      <c r="H95" s="32" t="s">
        <v>97</v>
      </c>
      <c r="L95" s="40" t="s">
        <v>97</v>
      </c>
      <c r="P95" s="31"/>
      <c r="R95" s="1"/>
      <c r="S95" s="49">
        <v>86.0</v>
      </c>
      <c r="T95" s="47">
        <f t="shared" si="4"/>
        <v>2.15505E+48</v>
      </c>
      <c r="U95" s="1"/>
      <c r="V95" s="1"/>
      <c r="W95" s="1"/>
      <c r="X95" s="47" t="s">
        <v>97</v>
      </c>
      <c r="Y95" s="1"/>
      <c r="Z95" s="1"/>
      <c r="AA95" s="49"/>
      <c r="AB95" s="47" t="s">
        <v>97</v>
      </c>
      <c r="AC95" s="1"/>
    </row>
    <row r="96">
      <c r="H96" s="32" t="s">
        <v>97</v>
      </c>
      <c r="L96" s="40" t="s">
        <v>97</v>
      </c>
      <c r="P96" s="31"/>
      <c r="R96" s="1"/>
      <c r="S96" s="49">
        <v>87.0</v>
      </c>
      <c r="T96" s="47">
        <f t="shared" si="4"/>
        <v>6.46516E+48</v>
      </c>
      <c r="U96" s="1"/>
      <c r="V96" s="1"/>
      <c r="W96" s="1"/>
      <c r="X96" s="47" t="s">
        <v>97</v>
      </c>
      <c r="Y96" s="1"/>
      <c r="Z96" s="1"/>
      <c r="AA96" s="49"/>
      <c r="AB96" s="47" t="s">
        <v>97</v>
      </c>
      <c r="AC96" s="1"/>
    </row>
    <row r="97">
      <c r="H97" s="32" t="s">
        <v>97</v>
      </c>
      <c r="L97" s="40" t="s">
        <v>97</v>
      </c>
      <c r="P97" s="31"/>
      <c r="R97" s="1"/>
      <c r="S97" s="49">
        <v>88.0</v>
      </c>
      <c r="T97" s="47">
        <f t="shared" si="4"/>
        <v>1.93955E+49</v>
      </c>
      <c r="U97" s="1"/>
      <c r="V97" s="1"/>
      <c r="W97" s="1"/>
      <c r="X97" s="47" t="s">
        <v>97</v>
      </c>
      <c r="Y97" s="1"/>
      <c r="Z97" s="1"/>
      <c r="AA97" s="49"/>
      <c r="AB97" s="47" t="s">
        <v>97</v>
      </c>
      <c r="AC97" s="1"/>
    </row>
    <row r="98">
      <c r="H98" s="32" t="s">
        <v>97</v>
      </c>
      <c r="L98" s="40" t="s">
        <v>97</v>
      </c>
      <c r="P98" s="31"/>
      <c r="R98" s="1"/>
      <c r="S98" s="49">
        <v>89.0</v>
      </c>
      <c r="T98" s="47">
        <f t="shared" si="4"/>
        <v>5.81864E+49</v>
      </c>
      <c r="U98" s="1"/>
      <c r="V98" s="1"/>
      <c r="W98" s="1"/>
      <c r="X98" s="47" t="s">
        <v>97</v>
      </c>
      <c r="Y98" s="1"/>
      <c r="Z98" s="1"/>
      <c r="AA98" s="49"/>
      <c r="AB98" s="47" t="s">
        <v>97</v>
      </c>
      <c r="AC98" s="1"/>
    </row>
    <row r="99">
      <c r="H99" s="32" t="s">
        <v>97</v>
      </c>
      <c r="L99" s="40" t="s">
        <v>97</v>
      </c>
      <c r="P99" s="31"/>
      <c r="R99" s="1"/>
      <c r="S99" s="49">
        <v>90.0</v>
      </c>
      <c r="T99" s="47">
        <f t="shared" si="4"/>
        <v>1.74559E+50</v>
      </c>
      <c r="U99" s="1"/>
      <c r="V99" s="1"/>
      <c r="W99" s="1"/>
      <c r="X99" s="47" t="s">
        <v>97</v>
      </c>
      <c r="Y99" s="1"/>
      <c r="Z99" s="1"/>
      <c r="AA99" s="49"/>
      <c r="AB99" s="47" t="s">
        <v>97</v>
      </c>
      <c r="AC99" s="1"/>
    </row>
    <row r="100">
      <c r="H100" s="32" t="s">
        <v>97</v>
      </c>
      <c r="L100" s="40" t="s">
        <v>97</v>
      </c>
      <c r="P100" s="31"/>
      <c r="R100" s="1"/>
      <c r="S100" s="49">
        <v>91.0</v>
      </c>
      <c r="T100" s="47">
        <f t="shared" si="4"/>
        <v>5.23678E+50</v>
      </c>
      <c r="U100" s="1"/>
      <c r="V100" s="1"/>
      <c r="W100" s="1"/>
      <c r="X100" s="47" t="s">
        <v>97</v>
      </c>
      <c r="Y100" s="1"/>
      <c r="Z100" s="1"/>
      <c r="AA100" s="49"/>
      <c r="AB100" s="47" t="s">
        <v>97</v>
      </c>
      <c r="AC100" s="1"/>
    </row>
    <row r="101">
      <c r="H101" s="32" t="s">
        <v>97</v>
      </c>
      <c r="L101" s="40" t="s">
        <v>97</v>
      </c>
      <c r="P101" s="31"/>
      <c r="R101" s="1"/>
      <c r="S101" s="49">
        <v>92.0</v>
      </c>
      <c r="T101" s="47">
        <f t="shared" si="4"/>
        <v>1.57103E+51</v>
      </c>
      <c r="U101" s="1"/>
      <c r="V101" s="1"/>
      <c r="W101" s="1"/>
      <c r="X101" s="47" t="s">
        <v>97</v>
      </c>
      <c r="Y101" s="1"/>
      <c r="Z101" s="1"/>
      <c r="AA101" s="49"/>
      <c r="AB101" s="47" t="s">
        <v>97</v>
      </c>
      <c r="AC101" s="1"/>
    </row>
    <row r="102">
      <c r="H102" s="32" t="s">
        <v>97</v>
      </c>
      <c r="L102" s="40" t="s">
        <v>97</v>
      </c>
      <c r="P102" s="31"/>
      <c r="R102" s="1"/>
      <c r="S102" s="49">
        <v>93.0</v>
      </c>
      <c r="T102" s="47">
        <f t="shared" si="4"/>
        <v>4.7131E+51</v>
      </c>
      <c r="U102" s="1"/>
      <c r="V102" s="1"/>
      <c r="W102" s="1"/>
      <c r="X102" s="47" t="s">
        <v>97</v>
      </c>
      <c r="Y102" s="1"/>
      <c r="Z102" s="1"/>
      <c r="AA102" s="49"/>
      <c r="AB102" s="47" t="s">
        <v>97</v>
      </c>
      <c r="AC102" s="1"/>
    </row>
    <row r="103">
      <c r="H103" s="32" t="s">
        <v>97</v>
      </c>
      <c r="L103" s="40" t="s">
        <v>97</v>
      </c>
      <c r="P103" s="31"/>
      <c r="R103" s="1"/>
      <c r="S103" s="49">
        <v>94.0</v>
      </c>
      <c r="T103" s="47">
        <f t="shared" si="4"/>
        <v>1.41393E+52</v>
      </c>
      <c r="U103" s="1"/>
      <c r="V103" s="1"/>
      <c r="W103" s="1"/>
      <c r="X103" s="47" t="s">
        <v>97</v>
      </c>
      <c r="Y103" s="1"/>
      <c r="Z103" s="1"/>
      <c r="AA103" s="49"/>
      <c r="AB103" s="47" t="s">
        <v>97</v>
      </c>
      <c r="AC103" s="1"/>
    </row>
    <row r="104">
      <c r="H104" s="32" t="s">
        <v>97</v>
      </c>
      <c r="L104" s="40" t="s">
        <v>97</v>
      </c>
      <c r="P104" s="31"/>
      <c r="R104" s="1"/>
      <c r="S104" s="49">
        <v>95.0</v>
      </c>
      <c r="T104" s="47">
        <f t="shared" si="4"/>
        <v>4.24179E+52</v>
      </c>
      <c r="U104" s="1"/>
      <c r="V104" s="1"/>
      <c r="W104" s="1"/>
      <c r="X104" s="47" t="s">
        <v>97</v>
      </c>
      <c r="Y104" s="1"/>
      <c r="Z104" s="1"/>
      <c r="AA104" s="49"/>
      <c r="AB104" s="47" t="s">
        <v>97</v>
      </c>
      <c r="AC104" s="1"/>
    </row>
    <row r="105">
      <c r="H105" s="32" t="s">
        <v>97</v>
      </c>
      <c r="L105" s="40" t="s">
        <v>97</v>
      </c>
      <c r="P105" s="31"/>
      <c r="R105" s="1"/>
      <c r="S105" s="49">
        <v>96.0</v>
      </c>
      <c r="T105" s="47">
        <f t="shared" si="4"/>
        <v>1.27254E+53</v>
      </c>
      <c r="U105" s="1"/>
      <c r="V105" s="1"/>
      <c r="W105" s="1"/>
      <c r="X105" s="47" t="s">
        <v>97</v>
      </c>
      <c r="Y105" s="1"/>
      <c r="Z105" s="1"/>
      <c r="AA105" s="49"/>
      <c r="AB105" s="47" t="s">
        <v>97</v>
      </c>
      <c r="AC105" s="1"/>
    </row>
    <row r="106">
      <c r="H106" s="32" t="s">
        <v>97</v>
      </c>
      <c r="L106" s="40" t="s">
        <v>97</v>
      </c>
      <c r="P106" s="31"/>
      <c r="R106" s="1"/>
      <c r="S106" s="49">
        <v>97.0</v>
      </c>
      <c r="T106" s="47">
        <f t="shared" si="4"/>
        <v>3.81761E+53</v>
      </c>
      <c r="U106" s="1"/>
      <c r="V106" s="1"/>
      <c r="W106" s="1"/>
      <c r="X106" s="47" t="s">
        <v>97</v>
      </c>
      <c r="Y106" s="1"/>
      <c r="Z106" s="1"/>
      <c r="AA106" s="49"/>
      <c r="AB106" s="47" t="s">
        <v>97</v>
      </c>
      <c r="AC106" s="1"/>
    </row>
    <row r="107">
      <c r="H107" s="32" t="s">
        <v>97</v>
      </c>
      <c r="L107" s="40" t="s">
        <v>97</v>
      </c>
      <c r="P107" s="31"/>
      <c r="R107" s="1"/>
      <c r="S107" s="49">
        <v>98.0</v>
      </c>
      <c r="T107" s="47">
        <f t="shared" si="4"/>
        <v>1.14528E+54</v>
      </c>
      <c r="U107" s="1"/>
      <c r="V107" s="1"/>
      <c r="W107" s="1"/>
      <c r="X107" s="47" t="s">
        <v>97</v>
      </c>
      <c r="Y107" s="1"/>
      <c r="Z107" s="1"/>
      <c r="AA107" s="49"/>
      <c r="AB107" s="47" t="s">
        <v>97</v>
      </c>
      <c r="AC107" s="1"/>
    </row>
    <row r="108">
      <c r="H108" s="32" t="s">
        <v>97</v>
      </c>
      <c r="L108" s="40" t="s">
        <v>97</v>
      </c>
      <c r="P108" s="31"/>
      <c r="R108" s="1"/>
      <c r="S108" s="49">
        <v>99.0</v>
      </c>
      <c r="T108" s="47">
        <f t="shared" si="4"/>
        <v>3.43585E+54</v>
      </c>
      <c r="U108" s="1"/>
      <c r="V108" s="1"/>
      <c r="W108" s="1"/>
      <c r="X108" s="47" t="s">
        <v>97</v>
      </c>
      <c r="Y108" s="1"/>
      <c r="Z108" s="1"/>
      <c r="AA108" s="49"/>
      <c r="AB108" s="47" t="s">
        <v>97</v>
      </c>
      <c r="AC108" s="1"/>
    </row>
    <row r="109">
      <c r="H109" s="32" t="s">
        <v>97</v>
      </c>
      <c r="L109" s="40" t="s">
        <v>97</v>
      </c>
      <c r="P109" s="31"/>
      <c r="R109" s="1"/>
      <c r="S109" s="49">
        <v>100.0</v>
      </c>
      <c r="T109" s="111" t="s">
        <v>97</v>
      </c>
      <c r="U109" s="1"/>
      <c r="V109" s="1"/>
      <c r="W109" s="1"/>
      <c r="X109" s="47" t="s">
        <v>97</v>
      </c>
      <c r="Y109" s="1"/>
      <c r="Z109" s="1"/>
      <c r="AA109" s="49"/>
      <c r="AB109" s="47" t="s">
        <v>97</v>
      </c>
      <c r="AC109" s="1"/>
    </row>
    <row r="110">
      <c r="H110" s="32" t="s">
        <v>97</v>
      </c>
      <c r="L110" s="40" t="s">
        <v>97</v>
      </c>
      <c r="P110" s="31"/>
      <c r="R110" s="1"/>
      <c r="S110" s="1"/>
      <c r="T110" s="111" t="s">
        <v>97</v>
      </c>
      <c r="U110" s="1"/>
      <c r="V110" s="1"/>
      <c r="W110" s="1"/>
      <c r="X110" s="47" t="s">
        <v>97</v>
      </c>
      <c r="Y110" s="1"/>
      <c r="Z110" s="1"/>
      <c r="AA110" s="1"/>
      <c r="AB110" s="47" t="s">
        <v>97</v>
      </c>
      <c r="AC110" s="1"/>
    </row>
    <row r="111">
      <c r="H111" s="32" t="s">
        <v>97</v>
      </c>
      <c r="L111" s="40" t="s">
        <v>97</v>
      </c>
      <c r="P111" s="31"/>
      <c r="R111" s="1"/>
      <c r="S111" s="1"/>
      <c r="T111" s="111" t="s">
        <v>97</v>
      </c>
      <c r="U111" s="1"/>
      <c r="V111" s="1"/>
      <c r="W111" s="1"/>
      <c r="X111" s="47" t="s">
        <v>97</v>
      </c>
      <c r="Y111" s="1"/>
      <c r="Z111" s="1"/>
      <c r="AA111" s="1"/>
      <c r="AB111" s="47" t="s">
        <v>97</v>
      </c>
      <c r="AC111" s="1"/>
    </row>
    <row r="112">
      <c r="H112" s="32" t="s">
        <v>97</v>
      </c>
      <c r="L112" s="40" t="s">
        <v>97</v>
      </c>
      <c r="P112" s="31"/>
      <c r="R112" s="1"/>
      <c r="S112" s="1"/>
      <c r="T112" s="111" t="s">
        <v>97</v>
      </c>
      <c r="U112" s="1"/>
      <c r="V112" s="1"/>
      <c r="W112" s="1"/>
      <c r="X112" s="47" t="s">
        <v>97</v>
      </c>
      <c r="Y112" s="1"/>
      <c r="Z112" s="1"/>
      <c r="AA112" s="1"/>
      <c r="AB112" s="47" t="s">
        <v>97</v>
      </c>
      <c r="AC112" s="1"/>
    </row>
    <row r="113">
      <c r="H113" s="32" t="s">
        <v>97</v>
      </c>
      <c r="L113" s="40" t="s">
        <v>97</v>
      </c>
      <c r="P113" s="31"/>
      <c r="R113" s="1"/>
      <c r="S113" s="1"/>
      <c r="T113" s="111" t="s">
        <v>97</v>
      </c>
      <c r="U113" s="1"/>
      <c r="V113" s="1"/>
      <c r="W113" s="1"/>
      <c r="X113" s="47" t="s">
        <v>97</v>
      </c>
      <c r="Y113" s="1"/>
      <c r="Z113" s="1"/>
      <c r="AA113" s="1"/>
      <c r="AB113" s="47" t="s">
        <v>97</v>
      </c>
      <c r="AC113" s="1"/>
    </row>
    <row r="114">
      <c r="H114" s="32" t="s">
        <v>97</v>
      </c>
      <c r="L114" s="40" t="s">
        <v>97</v>
      </c>
      <c r="P114" s="31"/>
      <c r="R114" s="1"/>
      <c r="S114" s="1"/>
      <c r="T114" s="111" t="s">
        <v>97</v>
      </c>
      <c r="U114" s="1"/>
      <c r="V114" s="1"/>
      <c r="W114" s="1"/>
      <c r="X114" s="47" t="s">
        <v>97</v>
      </c>
      <c r="Y114" s="1"/>
      <c r="Z114" s="1"/>
      <c r="AA114" s="1"/>
      <c r="AB114" s="47" t="s">
        <v>97</v>
      </c>
      <c r="AC114" s="1"/>
    </row>
    <row r="115">
      <c r="H115" s="32" t="s">
        <v>97</v>
      </c>
      <c r="L115" s="40" t="s">
        <v>97</v>
      </c>
      <c r="P115" s="31"/>
      <c r="R115" s="1"/>
      <c r="S115" s="1"/>
      <c r="T115" s="111" t="s">
        <v>97</v>
      </c>
      <c r="U115" s="1"/>
      <c r="V115" s="1"/>
      <c r="W115" s="1"/>
      <c r="X115" s="47" t="s">
        <v>97</v>
      </c>
      <c r="Y115" s="1"/>
      <c r="Z115" s="1"/>
      <c r="AA115" s="1"/>
      <c r="AB115" s="47" t="s">
        <v>97</v>
      </c>
      <c r="AC115" s="1"/>
    </row>
    <row r="116">
      <c r="H116" s="32" t="s">
        <v>97</v>
      </c>
      <c r="L116" s="40" t="s">
        <v>97</v>
      </c>
      <c r="P116" s="31"/>
      <c r="R116" s="1"/>
      <c r="S116" s="1"/>
      <c r="T116" s="111" t="s">
        <v>97</v>
      </c>
      <c r="U116" s="1"/>
      <c r="V116" s="1"/>
      <c r="W116" s="1"/>
      <c r="X116" s="47" t="s">
        <v>97</v>
      </c>
      <c r="Y116" s="1"/>
      <c r="Z116" s="1"/>
      <c r="AA116" s="1"/>
      <c r="AB116" s="47" t="s">
        <v>97</v>
      </c>
      <c r="AC116" s="1"/>
    </row>
    <row r="117">
      <c r="H117" s="32" t="s">
        <v>97</v>
      </c>
      <c r="L117" s="40" t="s">
        <v>97</v>
      </c>
      <c r="P117" s="31"/>
      <c r="R117" s="1"/>
      <c r="S117" s="1"/>
      <c r="T117" s="111" t="s">
        <v>97</v>
      </c>
      <c r="U117" s="1"/>
      <c r="V117" s="1"/>
      <c r="W117" s="1"/>
      <c r="X117" s="47" t="s">
        <v>97</v>
      </c>
      <c r="Y117" s="1"/>
      <c r="Z117" s="1"/>
      <c r="AA117" s="1"/>
      <c r="AB117" s="47" t="s">
        <v>97</v>
      </c>
      <c r="AC117" s="1"/>
    </row>
    <row r="118">
      <c r="H118" s="32" t="s">
        <v>97</v>
      </c>
      <c r="L118" s="40" t="s">
        <v>97</v>
      </c>
      <c r="P118" s="31"/>
      <c r="R118" s="1"/>
      <c r="S118" s="1"/>
      <c r="T118" s="111" t="s">
        <v>97</v>
      </c>
      <c r="U118" s="1"/>
      <c r="V118" s="1"/>
      <c r="W118" s="1"/>
      <c r="X118" s="47" t="s">
        <v>97</v>
      </c>
      <c r="Y118" s="1"/>
      <c r="Z118" s="1"/>
      <c r="AA118" s="1"/>
      <c r="AB118" s="47" t="s">
        <v>97</v>
      </c>
      <c r="AC118" s="1"/>
    </row>
    <row r="119">
      <c r="H119" s="32" t="s">
        <v>97</v>
      </c>
      <c r="L119" s="40" t="s">
        <v>97</v>
      </c>
      <c r="P119" s="31"/>
      <c r="R119" s="1"/>
      <c r="S119" s="1"/>
      <c r="T119" s="111" t="s">
        <v>97</v>
      </c>
      <c r="U119" s="1"/>
      <c r="V119" s="1"/>
      <c r="W119" s="1"/>
      <c r="X119" s="47" t="s">
        <v>97</v>
      </c>
      <c r="Y119" s="1"/>
      <c r="Z119" s="1"/>
      <c r="AA119" s="1"/>
      <c r="AB119" s="47" t="s">
        <v>97</v>
      </c>
      <c r="AC119" s="1"/>
    </row>
    <row r="120">
      <c r="H120" s="32" t="s">
        <v>97</v>
      </c>
      <c r="L120" s="40" t="s">
        <v>97</v>
      </c>
      <c r="P120" s="31"/>
      <c r="R120" s="1"/>
      <c r="S120" s="1"/>
      <c r="T120" s="111" t="s">
        <v>97</v>
      </c>
      <c r="U120" s="1"/>
      <c r="V120" s="1"/>
      <c r="W120" s="1"/>
      <c r="X120" s="47" t="s">
        <v>97</v>
      </c>
      <c r="Y120" s="1"/>
      <c r="Z120" s="1"/>
      <c r="AA120" s="1"/>
      <c r="AB120" s="47" t="s">
        <v>97</v>
      </c>
      <c r="AC120" s="1"/>
    </row>
  </sheetData>
  <mergeCells count="7">
    <mergeCell ref="B4:D4"/>
    <mergeCell ref="G4:H4"/>
    <mergeCell ref="K4:L4"/>
    <mergeCell ref="O4:P4"/>
    <mergeCell ref="S4:T4"/>
    <mergeCell ref="W4:X4"/>
    <mergeCell ref="AA4:A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4.13"/>
    <col customWidth="1" min="5" max="5" width="4.5"/>
    <col customWidth="1" min="6" max="6" width="4.88"/>
    <col customWidth="1" min="8" max="8" width="13.13"/>
    <col customWidth="1" min="9" max="9" width="3.88"/>
    <col customWidth="1" min="10" max="10" width="4.88"/>
    <col customWidth="1" min="12" max="12" width="13.13"/>
    <col customWidth="1" min="13" max="13" width="3.88"/>
    <col customWidth="1" min="14" max="14" width="4.88"/>
    <col customWidth="1" min="16" max="16" width="13.13"/>
    <col customWidth="1" min="17" max="17" width="3.88"/>
    <col customWidth="1" min="18" max="18" width="4.88"/>
    <col customWidth="1" min="20" max="20" width="13.13"/>
    <col customWidth="1" min="21" max="21" width="3.88"/>
    <col customWidth="1" min="22" max="22" width="4.88"/>
    <col customWidth="1" min="24" max="24" width="13.13"/>
    <col customWidth="1" min="25" max="25" width="3.88"/>
    <col customWidth="1" min="26" max="26" width="4.88"/>
    <col customWidth="1" min="28" max="28" width="13.13"/>
    <col customWidth="1" min="29" max="29" width="3.88"/>
    <col customWidth="1" min="30" max="30" width="4.88"/>
  </cols>
  <sheetData>
    <row r="4">
      <c r="A4" s="34"/>
      <c r="B4" s="35" t="s">
        <v>138</v>
      </c>
      <c r="E4" s="34"/>
      <c r="F4" s="34"/>
      <c r="G4" s="37" t="s">
        <v>139</v>
      </c>
      <c r="I4" s="34"/>
      <c r="J4" s="34"/>
      <c r="K4" s="37" t="s">
        <v>44</v>
      </c>
      <c r="M4" s="34"/>
      <c r="N4" s="34"/>
      <c r="O4" s="37" t="s">
        <v>81</v>
      </c>
      <c r="Q4" s="34"/>
      <c r="R4" s="34"/>
      <c r="S4" s="37" t="s">
        <v>69</v>
      </c>
      <c r="U4" s="34"/>
      <c r="V4" s="34"/>
      <c r="W4" s="37" t="s">
        <v>71</v>
      </c>
      <c r="Y4" s="34"/>
      <c r="Z4" s="34"/>
      <c r="AA4" s="37" t="s">
        <v>86</v>
      </c>
      <c r="AC4" s="34"/>
      <c r="AD4" s="34"/>
    </row>
    <row r="6">
      <c r="G6" s="32" t="s">
        <v>63</v>
      </c>
      <c r="H6" s="45">
        <v>3.0</v>
      </c>
      <c r="I6" s="42"/>
      <c r="J6" s="42"/>
      <c r="K6" s="45" t="s">
        <v>63</v>
      </c>
      <c r="L6" s="45">
        <v>1000.0</v>
      </c>
      <c r="M6" s="42"/>
      <c r="N6" s="42"/>
      <c r="O6" s="45" t="s">
        <v>63</v>
      </c>
      <c r="P6" s="45">
        <v>200000.0</v>
      </c>
      <c r="Q6" s="42"/>
      <c r="R6" s="42"/>
      <c r="S6" s="45" t="s">
        <v>63</v>
      </c>
      <c r="T6" s="45">
        <v>3000000.0</v>
      </c>
      <c r="U6" s="42"/>
      <c r="V6" s="42"/>
      <c r="W6" s="45" t="s">
        <v>63</v>
      </c>
      <c r="X6" s="45">
        <v>4.0E7</v>
      </c>
      <c r="Y6" s="42"/>
      <c r="Z6" s="42"/>
      <c r="AA6" s="45" t="s">
        <v>63</v>
      </c>
      <c r="AB6" s="45">
        <v>5.0E8</v>
      </c>
    </row>
    <row r="7">
      <c r="G7" s="32" t="s">
        <v>64</v>
      </c>
      <c r="H7" s="32">
        <v>2.0</v>
      </c>
      <c r="K7" s="32" t="s">
        <v>64</v>
      </c>
      <c r="L7" s="32">
        <v>10.0</v>
      </c>
      <c r="O7" s="32" t="s">
        <v>64</v>
      </c>
      <c r="P7" s="32">
        <v>10.0</v>
      </c>
      <c r="S7" s="32" t="s">
        <v>64</v>
      </c>
      <c r="T7" s="32">
        <v>10.0</v>
      </c>
      <c r="W7" s="32" t="s">
        <v>64</v>
      </c>
      <c r="X7" s="32">
        <v>10.0</v>
      </c>
      <c r="AA7" s="32" t="s">
        <v>64</v>
      </c>
      <c r="AB7" s="32">
        <v>10.0</v>
      </c>
    </row>
    <row r="8">
      <c r="B8" s="32" t="s">
        <v>65</v>
      </c>
      <c r="C8" s="32" t="s">
        <v>66</v>
      </c>
      <c r="D8" s="32" t="s">
        <v>67</v>
      </c>
      <c r="G8" s="32" t="s">
        <v>65</v>
      </c>
      <c r="H8" s="32" t="s">
        <v>66</v>
      </c>
      <c r="K8" s="32" t="s">
        <v>65</v>
      </c>
      <c r="L8" s="32" t="s">
        <v>66</v>
      </c>
      <c r="O8" s="32" t="s">
        <v>65</v>
      </c>
      <c r="P8" s="32" t="s">
        <v>66</v>
      </c>
      <c r="S8" s="32" t="s">
        <v>65</v>
      </c>
      <c r="T8" s="32" t="s">
        <v>66</v>
      </c>
      <c r="W8" s="32" t="s">
        <v>65</v>
      </c>
      <c r="X8" s="32" t="s">
        <v>66</v>
      </c>
      <c r="AA8" s="32" t="s">
        <v>65</v>
      </c>
      <c r="AB8" s="32" t="s">
        <v>66</v>
      </c>
    </row>
    <row r="9">
      <c r="B9" s="41">
        <v>0.0</v>
      </c>
      <c r="C9" s="41">
        <v>12.0</v>
      </c>
      <c r="D9" s="32" t="s">
        <v>113</v>
      </c>
      <c r="G9" s="32">
        <v>0.0</v>
      </c>
      <c r="H9" s="114">
        <f t="shared" ref="H9:H58" si="1">$H$6*($H$7^G9)*MAX(1.1^(G9-9),1)*MAX(1.2^(G9-19),1)*MAX(1.3^(G9-29),1)*MAX(1.4^(G9-39),1)</f>
        <v>3</v>
      </c>
      <c r="K9" s="32">
        <v>0.0</v>
      </c>
      <c r="L9" s="114">
        <f t="shared" ref="L9:L58" si="2">$L$6*($L$7^$K9)</f>
        <v>1000</v>
      </c>
      <c r="O9" s="32">
        <v>0.0</v>
      </c>
      <c r="P9" s="114">
        <f t="shared" ref="P9:P58" si="3">$P$6*($P$7^$O9)</f>
        <v>200000</v>
      </c>
      <c r="S9" s="32">
        <v>0.0</v>
      </c>
      <c r="T9" s="114">
        <f t="shared" ref="T9:T58" si="4">$T$6*($T$7^$S9)</f>
        <v>3000000</v>
      </c>
      <c r="W9" s="32">
        <v>0.0</v>
      </c>
      <c r="X9" s="114">
        <f t="shared" ref="X9:X58" si="5">$X$6*($X$7^$W9)</f>
        <v>40000000</v>
      </c>
      <c r="AA9" s="32">
        <v>0.0</v>
      </c>
      <c r="AB9" s="114">
        <f t="shared" ref="AB9:AB58" si="6">$AB$6*($AB$7^$AA9)</f>
        <v>500000000</v>
      </c>
    </row>
    <row r="10">
      <c r="B10" s="41">
        <v>1.0</v>
      </c>
      <c r="C10" s="50">
        <v>1.0E10</v>
      </c>
      <c r="D10" s="121" t="s">
        <v>143</v>
      </c>
      <c r="G10" s="32">
        <v>1.0</v>
      </c>
      <c r="H10" s="114">
        <f t="shared" si="1"/>
        <v>6</v>
      </c>
      <c r="K10" s="32">
        <v>1.0</v>
      </c>
      <c r="L10" s="114">
        <f t="shared" si="2"/>
        <v>10000</v>
      </c>
      <c r="O10" s="32">
        <v>1.0</v>
      </c>
      <c r="P10" s="114">
        <f t="shared" si="3"/>
        <v>2000000</v>
      </c>
      <c r="S10" s="32">
        <v>1.0</v>
      </c>
      <c r="T10" s="114">
        <f t="shared" si="4"/>
        <v>30000000</v>
      </c>
      <c r="W10" s="32">
        <v>1.0</v>
      </c>
      <c r="X10" s="114">
        <f t="shared" si="5"/>
        <v>400000000</v>
      </c>
      <c r="AA10" s="32">
        <v>1.0</v>
      </c>
      <c r="AB10" s="114">
        <f t="shared" si="6"/>
        <v>5000000000</v>
      </c>
    </row>
    <row r="11">
      <c r="G11" s="32">
        <v>2.0</v>
      </c>
      <c r="H11" s="114">
        <f t="shared" si="1"/>
        <v>12</v>
      </c>
      <c r="K11" s="32">
        <v>2.0</v>
      </c>
      <c r="L11" s="114">
        <f t="shared" si="2"/>
        <v>100000</v>
      </c>
      <c r="O11" s="32">
        <v>2.0</v>
      </c>
      <c r="P11" s="114">
        <f t="shared" si="3"/>
        <v>20000000</v>
      </c>
      <c r="S11" s="32">
        <v>2.0</v>
      </c>
      <c r="T11" s="114">
        <f t="shared" si="4"/>
        <v>300000000</v>
      </c>
      <c r="W11" s="32">
        <v>2.0</v>
      </c>
      <c r="X11" s="114">
        <f t="shared" si="5"/>
        <v>4000000000</v>
      </c>
      <c r="AA11" s="32">
        <v>2.0</v>
      </c>
      <c r="AB11" s="114">
        <f t="shared" si="6"/>
        <v>50000000000</v>
      </c>
    </row>
    <row r="12">
      <c r="G12" s="32">
        <v>3.0</v>
      </c>
      <c r="H12" s="114">
        <f t="shared" si="1"/>
        <v>24</v>
      </c>
      <c r="K12" s="32">
        <v>3.0</v>
      </c>
      <c r="L12" s="114">
        <f t="shared" si="2"/>
        <v>1000000</v>
      </c>
      <c r="O12" s="32">
        <v>3.0</v>
      </c>
      <c r="P12" s="114">
        <f t="shared" si="3"/>
        <v>200000000</v>
      </c>
      <c r="S12" s="32">
        <v>3.0</v>
      </c>
      <c r="T12" s="114">
        <f t="shared" si="4"/>
        <v>3000000000</v>
      </c>
      <c r="W12" s="32">
        <v>3.0</v>
      </c>
      <c r="X12" s="114">
        <f t="shared" si="5"/>
        <v>40000000000</v>
      </c>
      <c r="AA12" s="32">
        <v>3.0</v>
      </c>
      <c r="AB12" s="114">
        <f t="shared" si="6"/>
        <v>500000000000</v>
      </c>
    </row>
    <row r="13">
      <c r="G13" s="32">
        <v>4.0</v>
      </c>
      <c r="H13" s="114">
        <f t="shared" si="1"/>
        <v>48</v>
      </c>
      <c r="K13" s="32">
        <v>4.0</v>
      </c>
      <c r="L13" s="114">
        <f t="shared" si="2"/>
        <v>10000000</v>
      </c>
      <c r="O13" s="32">
        <v>4.0</v>
      </c>
      <c r="P13" s="114">
        <f t="shared" si="3"/>
        <v>2000000000</v>
      </c>
      <c r="S13" s="32">
        <v>4.0</v>
      </c>
      <c r="T13" s="114">
        <f t="shared" si="4"/>
        <v>30000000000</v>
      </c>
      <c r="W13" s="32">
        <v>4.0</v>
      </c>
      <c r="X13" s="114">
        <f t="shared" si="5"/>
        <v>400000000000</v>
      </c>
      <c r="AA13" s="32">
        <v>4.0</v>
      </c>
      <c r="AB13" s="114">
        <f t="shared" si="6"/>
        <v>5000000000000</v>
      </c>
    </row>
    <row r="14">
      <c r="G14" s="32">
        <v>5.0</v>
      </c>
      <c r="H14" s="114">
        <f t="shared" si="1"/>
        <v>96</v>
      </c>
      <c r="K14" s="32">
        <v>5.0</v>
      </c>
      <c r="L14" s="114">
        <f t="shared" si="2"/>
        <v>100000000</v>
      </c>
      <c r="O14" s="32">
        <v>5.0</v>
      </c>
      <c r="P14" s="114">
        <f t="shared" si="3"/>
        <v>20000000000</v>
      </c>
      <c r="S14" s="32">
        <v>5.0</v>
      </c>
      <c r="T14" s="114">
        <f t="shared" si="4"/>
        <v>300000000000</v>
      </c>
      <c r="W14" s="32">
        <v>5.0</v>
      </c>
      <c r="X14" s="114">
        <f t="shared" si="5"/>
        <v>4000000000000</v>
      </c>
      <c r="AA14" s="32">
        <v>5.0</v>
      </c>
      <c r="AB14" s="114">
        <f t="shared" si="6"/>
        <v>50000000000000</v>
      </c>
    </row>
    <row r="15">
      <c r="G15" s="32">
        <v>6.0</v>
      </c>
      <c r="H15" s="114">
        <f t="shared" si="1"/>
        <v>192</v>
      </c>
      <c r="K15" s="32">
        <v>6.0</v>
      </c>
      <c r="L15" s="114">
        <f t="shared" si="2"/>
        <v>1000000000</v>
      </c>
      <c r="O15" s="32">
        <v>6.0</v>
      </c>
      <c r="P15" s="114">
        <f t="shared" si="3"/>
        <v>200000000000</v>
      </c>
      <c r="S15" s="32">
        <v>6.0</v>
      </c>
      <c r="T15" s="114">
        <f t="shared" si="4"/>
        <v>3000000000000</v>
      </c>
      <c r="W15" s="32">
        <v>6.0</v>
      </c>
      <c r="X15" s="114">
        <f t="shared" si="5"/>
        <v>40000000000000</v>
      </c>
      <c r="AA15" s="32">
        <v>6.0</v>
      </c>
      <c r="AB15" s="114">
        <f t="shared" si="6"/>
        <v>500000000000000</v>
      </c>
    </row>
    <row r="16">
      <c r="G16" s="32">
        <v>7.0</v>
      </c>
      <c r="H16" s="114">
        <f t="shared" si="1"/>
        <v>384</v>
      </c>
      <c r="K16" s="32">
        <v>7.0</v>
      </c>
      <c r="L16" s="114">
        <f t="shared" si="2"/>
        <v>10000000000</v>
      </c>
      <c r="O16" s="32">
        <v>7.0</v>
      </c>
      <c r="P16" s="114">
        <f t="shared" si="3"/>
        <v>2000000000000</v>
      </c>
      <c r="S16" s="32">
        <v>7.0</v>
      </c>
      <c r="T16" s="114">
        <f t="shared" si="4"/>
        <v>30000000000000</v>
      </c>
      <c r="W16" s="32">
        <v>7.0</v>
      </c>
      <c r="X16" s="114">
        <f t="shared" si="5"/>
        <v>400000000000000</v>
      </c>
      <c r="AA16" s="32">
        <v>7.0</v>
      </c>
      <c r="AB16" s="114">
        <f t="shared" si="6"/>
        <v>5E+15</v>
      </c>
    </row>
    <row r="17">
      <c r="G17" s="32">
        <v>8.0</v>
      </c>
      <c r="H17" s="114">
        <f t="shared" si="1"/>
        <v>768</v>
      </c>
      <c r="K17" s="32">
        <v>8.0</v>
      </c>
      <c r="L17" s="114">
        <f t="shared" si="2"/>
        <v>100000000000</v>
      </c>
      <c r="O17" s="32">
        <v>8.0</v>
      </c>
      <c r="P17" s="114">
        <f t="shared" si="3"/>
        <v>20000000000000</v>
      </c>
      <c r="S17" s="32">
        <v>8.0</v>
      </c>
      <c r="T17" s="114">
        <f t="shared" si="4"/>
        <v>300000000000000</v>
      </c>
      <c r="W17" s="32">
        <v>8.0</v>
      </c>
      <c r="X17" s="114">
        <f t="shared" si="5"/>
        <v>4E+15</v>
      </c>
      <c r="AA17" s="32">
        <v>8.0</v>
      </c>
      <c r="AB17" s="114">
        <f t="shared" si="6"/>
        <v>5E+16</v>
      </c>
    </row>
    <row r="18">
      <c r="G18" s="32">
        <v>9.0</v>
      </c>
      <c r="H18" s="114">
        <f t="shared" si="1"/>
        <v>1536</v>
      </c>
      <c r="K18" s="32">
        <v>9.0</v>
      </c>
      <c r="L18" s="114">
        <f t="shared" si="2"/>
        <v>1000000000000</v>
      </c>
      <c r="O18" s="32">
        <v>9.0</v>
      </c>
      <c r="P18" s="114">
        <f t="shared" si="3"/>
        <v>200000000000000</v>
      </c>
      <c r="S18" s="32">
        <v>9.0</v>
      </c>
      <c r="T18" s="114">
        <f t="shared" si="4"/>
        <v>3E+15</v>
      </c>
      <c r="W18" s="32">
        <v>9.0</v>
      </c>
      <c r="X18" s="114">
        <f t="shared" si="5"/>
        <v>4E+16</v>
      </c>
      <c r="AA18" s="32">
        <v>9.0</v>
      </c>
      <c r="AB18" s="114">
        <f t="shared" si="6"/>
        <v>5E+17</v>
      </c>
    </row>
    <row r="19">
      <c r="G19" s="32">
        <v>10.0</v>
      </c>
      <c r="H19" s="114">
        <f t="shared" si="1"/>
        <v>3379.2</v>
      </c>
      <c r="K19" s="32">
        <v>10.0</v>
      </c>
      <c r="L19" s="114">
        <f t="shared" si="2"/>
        <v>10000000000000</v>
      </c>
      <c r="O19" s="32">
        <v>10.0</v>
      </c>
      <c r="P19" s="114">
        <f t="shared" si="3"/>
        <v>2E+15</v>
      </c>
      <c r="S19" s="32">
        <v>10.0</v>
      </c>
      <c r="T19" s="114">
        <f t="shared" si="4"/>
        <v>3E+16</v>
      </c>
      <c r="W19" s="32">
        <v>10.0</v>
      </c>
      <c r="X19" s="114">
        <f t="shared" si="5"/>
        <v>4E+17</v>
      </c>
      <c r="AA19" s="32">
        <v>10.0</v>
      </c>
      <c r="AB19" s="114">
        <f t="shared" si="6"/>
        <v>5E+18</v>
      </c>
    </row>
    <row r="20">
      <c r="G20" s="32">
        <v>11.0</v>
      </c>
      <c r="H20" s="114">
        <f t="shared" si="1"/>
        <v>7434.24</v>
      </c>
      <c r="K20" s="32">
        <v>11.0</v>
      </c>
      <c r="L20" s="114">
        <f t="shared" si="2"/>
        <v>100000000000000</v>
      </c>
      <c r="O20" s="32">
        <v>11.0</v>
      </c>
      <c r="P20" s="114">
        <f t="shared" si="3"/>
        <v>2E+16</v>
      </c>
      <c r="S20" s="32">
        <v>11.0</v>
      </c>
      <c r="T20" s="114">
        <f t="shared" si="4"/>
        <v>3E+17</v>
      </c>
      <c r="W20" s="32">
        <v>11.0</v>
      </c>
      <c r="X20" s="114">
        <f t="shared" si="5"/>
        <v>4E+18</v>
      </c>
      <c r="AA20" s="32">
        <v>11.0</v>
      </c>
      <c r="AB20" s="114">
        <f t="shared" si="6"/>
        <v>5E+19</v>
      </c>
    </row>
    <row r="21">
      <c r="G21" s="32">
        <v>12.0</v>
      </c>
      <c r="H21" s="114">
        <f t="shared" si="1"/>
        <v>16355.328</v>
      </c>
      <c r="K21" s="32">
        <v>12.0</v>
      </c>
      <c r="L21" s="114">
        <f t="shared" si="2"/>
        <v>1E+15</v>
      </c>
      <c r="O21" s="32">
        <v>12.0</v>
      </c>
      <c r="P21" s="114">
        <f t="shared" si="3"/>
        <v>2E+17</v>
      </c>
      <c r="S21" s="32">
        <v>12.0</v>
      </c>
      <c r="T21" s="114">
        <f t="shared" si="4"/>
        <v>3E+18</v>
      </c>
      <c r="W21" s="32">
        <v>12.0</v>
      </c>
      <c r="X21" s="114">
        <f t="shared" si="5"/>
        <v>4E+19</v>
      </c>
      <c r="AA21" s="32">
        <v>12.0</v>
      </c>
      <c r="AB21" s="114">
        <f t="shared" si="6"/>
        <v>5E+20</v>
      </c>
    </row>
    <row r="22">
      <c r="G22" s="32">
        <v>13.0</v>
      </c>
      <c r="H22" s="114">
        <f t="shared" si="1"/>
        <v>35981.7216</v>
      </c>
      <c r="K22" s="32">
        <v>13.0</v>
      </c>
      <c r="L22" s="114">
        <f t="shared" si="2"/>
        <v>1E+16</v>
      </c>
      <c r="O22" s="32">
        <v>13.0</v>
      </c>
      <c r="P22" s="114">
        <f t="shared" si="3"/>
        <v>2E+18</v>
      </c>
      <c r="S22" s="32">
        <v>13.0</v>
      </c>
      <c r="T22" s="114">
        <f t="shared" si="4"/>
        <v>3E+19</v>
      </c>
      <c r="W22" s="32">
        <v>13.0</v>
      </c>
      <c r="X22" s="114">
        <f t="shared" si="5"/>
        <v>4E+20</v>
      </c>
      <c r="AA22" s="32">
        <v>13.0</v>
      </c>
      <c r="AB22" s="114">
        <f t="shared" si="6"/>
        <v>5E+21</v>
      </c>
    </row>
    <row r="23">
      <c r="G23" s="32">
        <v>14.0</v>
      </c>
      <c r="H23" s="114">
        <f t="shared" si="1"/>
        <v>79159.78752</v>
      </c>
      <c r="K23" s="32">
        <v>14.0</v>
      </c>
      <c r="L23" s="114">
        <f t="shared" si="2"/>
        <v>1E+17</v>
      </c>
      <c r="O23" s="32">
        <v>14.0</v>
      </c>
      <c r="P23" s="114">
        <f t="shared" si="3"/>
        <v>2E+19</v>
      </c>
      <c r="S23" s="32">
        <v>14.0</v>
      </c>
      <c r="T23" s="114">
        <f t="shared" si="4"/>
        <v>3E+20</v>
      </c>
      <c r="W23" s="32">
        <v>14.0</v>
      </c>
      <c r="X23" s="114">
        <f t="shared" si="5"/>
        <v>4E+21</v>
      </c>
      <c r="AA23" s="32">
        <v>14.0</v>
      </c>
      <c r="AB23" s="114">
        <f t="shared" si="6"/>
        <v>5E+22</v>
      </c>
    </row>
    <row r="24">
      <c r="G24" s="32">
        <v>15.0</v>
      </c>
      <c r="H24" s="114">
        <f t="shared" si="1"/>
        <v>174151.5325</v>
      </c>
      <c r="K24" s="32">
        <v>15.0</v>
      </c>
      <c r="L24" s="114">
        <f t="shared" si="2"/>
        <v>1E+18</v>
      </c>
      <c r="O24" s="32">
        <v>15.0</v>
      </c>
      <c r="P24" s="114">
        <f t="shared" si="3"/>
        <v>2E+20</v>
      </c>
      <c r="S24" s="32">
        <v>15.0</v>
      </c>
      <c r="T24" s="114">
        <f t="shared" si="4"/>
        <v>3E+21</v>
      </c>
      <c r="W24" s="32">
        <v>15.0</v>
      </c>
      <c r="X24" s="114">
        <f t="shared" si="5"/>
        <v>4E+22</v>
      </c>
      <c r="AA24" s="32">
        <v>15.0</v>
      </c>
      <c r="AB24" s="114">
        <f t="shared" si="6"/>
        <v>5E+23</v>
      </c>
    </row>
    <row r="25">
      <c r="G25" s="32">
        <v>16.0</v>
      </c>
      <c r="H25" s="114">
        <f t="shared" si="1"/>
        <v>383133.3716</v>
      </c>
      <c r="K25" s="32">
        <v>16.0</v>
      </c>
      <c r="L25" s="114">
        <f t="shared" si="2"/>
        <v>1E+19</v>
      </c>
      <c r="O25" s="32">
        <v>16.0</v>
      </c>
      <c r="P25" s="114">
        <f t="shared" si="3"/>
        <v>2E+21</v>
      </c>
      <c r="S25" s="32">
        <v>16.0</v>
      </c>
      <c r="T25" s="114">
        <f t="shared" si="4"/>
        <v>3E+22</v>
      </c>
      <c r="W25" s="32">
        <v>16.0</v>
      </c>
      <c r="X25" s="114">
        <f t="shared" si="5"/>
        <v>4E+23</v>
      </c>
      <c r="AA25" s="32">
        <v>16.0</v>
      </c>
      <c r="AB25" s="114">
        <f t="shared" si="6"/>
        <v>5E+24</v>
      </c>
    </row>
    <row r="26">
      <c r="G26" s="32">
        <v>17.0</v>
      </c>
      <c r="H26" s="114">
        <f t="shared" si="1"/>
        <v>842893.4175</v>
      </c>
      <c r="K26" s="32">
        <v>17.0</v>
      </c>
      <c r="L26" s="114">
        <f t="shared" si="2"/>
        <v>1E+20</v>
      </c>
      <c r="O26" s="32">
        <v>17.0</v>
      </c>
      <c r="P26" s="114">
        <f t="shared" si="3"/>
        <v>2E+22</v>
      </c>
      <c r="S26" s="32">
        <v>17.0</v>
      </c>
      <c r="T26" s="114">
        <f t="shared" si="4"/>
        <v>3E+23</v>
      </c>
      <c r="W26" s="32">
        <v>17.0</v>
      </c>
      <c r="X26" s="114">
        <f t="shared" si="5"/>
        <v>4E+24</v>
      </c>
      <c r="AA26" s="32">
        <v>17.0</v>
      </c>
      <c r="AB26" s="114">
        <f t="shared" si="6"/>
        <v>5E+25</v>
      </c>
    </row>
    <row r="27">
      <c r="G27" s="32">
        <v>18.0</v>
      </c>
      <c r="H27" s="114">
        <f t="shared" si="1"/>
        <v>1854365.519</v>
      </c>
      <c r="K27" s="32">
        <v>18.0</v>
      </c>
      <c r="L27" s="114">
        <f t="shared" si="2"/>
        <v>1E+21</v>
      </c>
      <c r="O27" s="32">
        <v>18.0</v>
      </c>
      <c r="P27" s="114">
        <f t="shared" si="3"/>
        <v>2E+23</v>
      </c>
      <c r="S27" s="32">
        <v>18.0</v>
      </c>
      <c r="T27" s="114">
        <f t="shared" si="4"/>
        <v>3E+24</v>
      </c>
      <c r="W27" s="32">
        <v>18.0</v>
      </c>
      <c r="X27" s="114">
        <f t="shared" si="5"/>
        <v>4E+25</v>
      </c>
      <c r="AA27" s="32">
        <v>18.0</v>
      </c>
      <c r="AB27" s="114">
        <f t="shared" si="6"/>
        <v>5E+26</v>
      </c>
    </row>
    <row r="28">
      <c r="G28" s="32">
        <v>19.0</v>
      </c>
      <c r="H28" s="114">
        <f t="shared" si="1"/>
        <v>4079604.141</v>
      </c>
      <c r="K28" s="32">
        <v>19.0</v>
      </c>
      <c r="L28" s="114">
        <f t="shared" si="2"/>
        <v>1E+22</v>
      </c>
      <c r="O28" s="32">
        <v>19.0</v>
      </c>
      <c r="P28" s="114">
        <f t="shared" si="3"/>
        <v>2E+24</v>
      </c>
      <c r="S28" s="32">
        <v>19.0</v>
      </c>
      <c r="T28" s="114">
        <f t="shared" si="4"/>
        <v>3E+25</v>
      </c>
      <c r="W28" s="32">
        <v>19.0</v>
      </c>
      <c r="X28" s="114">
        <f t="shared" si="5"/>
        <v>4E+26</v>
      </c>
      <c r="AA28" s="32">
        <v>19.0</v>
      </c>
      <c r="AB28" s="114">
        <f t="shared" si="6"/>
        <v>5E+27</v>
      </c>
    </row>
    <row r="29">
      <c r="G29" s="32">
        <v>20.0</v>
      </c>
      <c r="H29" s="114">
        <f t="shared" si="1"/>
        <v>10770154.93</v>
      </c>
      <c r="K29" s="32">
        <v>20.0</v>
      </c>
      <c r="L29" s="114">
        <f t="shared" si="2"/>
        <v>1E+23</v>
      </c>
      <c r="O29" s="32">
        <v>20.0</v>
      </c>
      <c r="P29" s="114">
        <f t="shared" si="3"/>
        <v>2E+25</v>
      </c>
      <c r="S29" s="32">
        <v>20.0</v>
      </c>
      <c r="T29" s="114">
        <f t="shared" si="4"/>
        <v>3E+26</v>
      </c>
      <c r="W29" s="32">
        <v>20.0</v>
      </c>
      <c r="X29" s="114">
        <f t="shared" si="5"/>
        <v>4E+27</v>
      </c>
      <c r="AA29" s="32">
        <v>20.0</v>
      </c>
      <c r="AB29" s="114">
        <f t="shared" si="6"/>
        <v>5E+28</v>
      </c>
    </row>
    <row r="30">
      <c r="G30" s="32">
        <v>21.0</v>
      </c>
      <c r="H30" s="114">
        <f t="shared" si="1"/>
        <v>28433209.02</v>
      </c>
      <c r="K30" s="32">
        <v>21.0</v>
      </c>
      <c r="L30" s="114">
        <f t="shared" si="2"/>
        <v>1E+24</v>
      </c>
      <c r="O30" s="32">
        <v>21.0</v>
      </c>
      <c r="P30" s="114">
        <f t="shared" si="3"/>
        <v>2E+26</v>
      </c>
      <c r="S30" s="32">
        <v>21.0</v>
      </c>
      <c r="T30" s="114">
        <f t="shared" si="4"/>
        <v>3E+27</v>
      </c>
      <c r="W30" s="32">
        <v>21.0</v>
      </c>
      <c r="X30" s="114">
        <f t="shared" si="5"/>
        <v>4E+28</v>
      </c>
      <c r="AA30" s="32">
        <v>21.0</v>
      </c>
      <c r="AB30" s="114">
        <f t="shared" si="6"/>
        <v>5E+29</v>
      </c>
    </row>
    <row r="31">
      <c r="G31" s="32">
        <v>22.0</v>
      </c>
      <c r="H31" s="114">
        <f t="shared" si="1"/>
        <v>75063671.81</v>
      </c>
      <c r="K31" s="32">
        <v>22.0</v>
      </c>
      <c r="L31" s="114">
        <f t="shared" si="2"/>
        <v>1E+25</v>
      </c>
      <c r="O31" s="32">
        <v>22.0</v>
      </c>
      <c r="P31" s="114">
        <f t="shared" si="3"/>
        <v>2E+27</v>
      </c>
      <c r="S31" s="32">
        <v>22.0</v>
      </c>
      <c r="T31" s="114">
        <f t="shared" si="4"/>
        <v>3E+28</v>
      </c>
      <c r="W31" s="32">
        <v>22.0</v>
      </c>
      <c r="X31" s="114">
        <f t="shared" si="5"/>
        <v>4E+29</v>
      </c>
      <c r="AA31" s="32">
        <v>22.0</v>
      </c>
      <c r="AB31" s="114">
        <f t="shared" si="6"/>
        <v>5E+30</v>
      </c>
    </row>
    <row r="32">
      <c r="G32" s="32">
        <v>23.0</v>
      </c>
      <c r="H32" s="114">
        <f t="shared" si="1"/>
        <v>198168093.6</v>
      </c>
      <c r="K32" s="32">
        <v>23.0</v>
      </c>
      <c r="L32" s="114">
        <f t="shared" si="2"/>
        <v>1E+26</v>
      </c>
      <c r="O32" s="32">
        <v>23.0</v>
      </c>
      <c r="P32" s="114">
        <f t="shared" si="3"/>
        <v>2E+28</v>
      </c>
      <c r="S32" s="32">
        <v>23.0</v>
      </c>
      <c r="T32" s="114">
        <f t="shared" si="4"/>
        <v>3E+29</v>
      </c>
      <c r="W32" s="32">
        <v>23.0</v>
      </c>
      <c r="X32" s="114">
        <f t="shared" si="5"/>
        <v>4E+30</v>
      </c>
      <c r="AA32" s="32">
        <v>23.0</v>
      </c>
      <c r="AB32" s="114">
        <f t="shared" si="6"/>
        <v>5E+31</v>
      </c>
    </row>
    <row r="33">
      <c r="G33" s="32">
        <v>24.0</v>
      </c>
      <c r="H33" s="114">
        <f t="shared" si="1"/>
        <v>523163767.1</v>
      </c>
      <c r="K33" s="32">
        <v>24.0</v>
      </c>
      <c r="L33" s="114">
        <f t="shared" si="2"/>
        <v>1E+27</v>
      </c>
      <c r="O33" s="32">
        <v>24.0</v>
      </c>
      <c r="P33" s="114">
        <f t="shared" si="3"/>
        <v>2E+29</v>
      </c>
      <c r="S33" s="32">
        <v>24.0</v>
      </c>
      <c r="T33" s="114">
        <f t="shared" si="4"/>
        <v>3E+30</v>
      </c>
      <c r="W33" s="32">
        <v>24.0</v>
      </c>
      <c r="X33" s="114">
        <f t="shared" si="5"/>
        <v>4E+31</v>
      </c>
      <c r="AA33" s="32">
        <v>24.0</v>
      </c>
      <c r="AB33" s="114">
        <f t="shared" si="6"/>
        <v>5E+32</v>
      </c>
    </row>
    <row r="34">
      <c r="G34" s="32">
        <v>25.0</v>
      </c>
      <c r="H34" s="114">
        <f t="shared" si="1"/>
        <v>1381152345</v>
      </c>
      <c r="K34" s="32">
        <v>25.0</v>
      </c>
      <c r="L34" s="114">
        <f t="shared" si="2"/>
        <v>1E+28</v>
      </c>
      <c r="O34" s="32">
        <v>25.0</v>
      </c>
      <c r="P34" s="114">
        <f t="shared" si="3"/>
        <v>2E+30</v>
      </c>
      <c r="S34" s="32">
        <v>25.0</v>
      </c>
      <c r="T34" s="114">
        <f t="shared" si="4"/>
        <v>3E+31</v>
      </c>
      <c r="W34" s="32">
        <v>25.0</v>
      </c>
      <c r="X34" s="114">
        <f t="shared" si="5"/>
        <v>4E+32</v>
      </c>
      <c r="AA34" s="32">
        <v>25.0</v>
      </c>
      <c r="AB34" s="114">
        <f t="shared" si="6"/>
        <v>5E+33</v>
      </c>
    </row>
    <row r="35">
      <c r="G35" s="32">
        <v>26.0</v>
      </c>
      <c r="H35" s="114">
        <f t="shared" si="1"/>
        <v>3646242191</v>
      </c>
      <c r="K35" s="32">
        <v>26.0</v>
      </c>
      <c r="L35" s="114">
        <f t="shared" si="2"/>
        <v>1E+29</v>
      </c>
      <c r="O35" s="32">
        <v>26.0</v>
      </c>
      <c r="P35" s="114">
        <f t="shared" si="3"/>
        <v>2E+31</v>
      </c>
      <c r="S35" s="32">
        <v>26.0</v>
      </c>
      <c r="T35" s="114">
        <f t="shared" si="4"/>
        <v>3E+32</v>
      </c>
      <c r="W35" s="32">
        <v>26.0</v>
      </c>
      <c r="X35" s="114">
        <f t="shared" si="5"/>
        <v>4E+33</v>
      </c>
      <c r="AA35" s="32">
        <v>26.0</v>
      </c>
      <c r="AB35" s="114">
        <f t="shared" si="6"/>
        <v>5E+34</v>
      </c>
    </row>
    <row r="36">
      <c r="G36" s="32">
        <v>27.0</v>
      </c>
      <c r="H36" s="114">
        <f t="shared" si="1"/>
        <v>9626079384</v>
      </c>
      <c r="K36" s="32">
        <v>27.0</v>
      </c>
      <c r="L36" s="114">
        <f t="shared" si="2"/>
        <v>1E+30</v>
      </c>
      <c r="O36" s="32">
        <v>27.0</v>
      </c>
      <c r="P36" s="114">
        <f t="shared" si="3"/>
        <v>2E+32</v>
      </c>
      <c r="S36" s="32">
        <v>27.0</v>
      </c>
      <c r="T36" s="114">
        <f t="shared" si="4"/>
        <v>3E+33</v>
      </c>
      <c r="W36" s="32">
        <v>27.0</v>
      </c>
      <c r="X36" s="114">
        <f t="shared" si="5"/>
        <v>4E+34</v>
      </c>
      <c r="AA36" s="32">
        <v>27.0</v>
      </c>
      <c r="AB36" s="114">
        <f t="shared" si="6"/>
        <v>5E+35</v>
      </c>
    </row>
    <row r="37">
      <c r="G37" s="32">
        <v>28.0</v>
      </c>
      <c r="H37" s="114">
        <f t="shared" si="1"/>
        <v>25412849574</v>
      </c>
      <c r="K37" s="32">
        <v>28.0</v>
      </c>
      <c r="L37" s="114">
        <f t="shared" si="2"/>
        <v>1E+31</v>
      </c>
      <c r="O37" s="32">
        <v>28.0</v>
      </c>
      <c r="P37" s="114">
        <f t="shared" si="3"/>
        <v>2E+33</v>
      </c>
      <c r="S37" s="32">
        <v>28.0</v>
      </c>
      <c r="T37" s="114">
        <f t="shared" si="4"/>
        <v>3E+34</v>
      </c>
      <c r="W37" s="32">
        <v>28.0</v>
      </c>
      <c r="X37" s="114">
        <f t="shared" si="5"/>
        <v>4E+35</v>
      </c>
      <c r="AA37" s="32">
        <v>28.0</v>
      </c>
      <c r="AB37" s="114">
        <f t="shared" si="6"/>
        <v>5E+36</v>
      </c>
    </row>
    <row r="38">
      <c r="G38" s="32">
        <v>29.0</v>
      </c>
      <c r="H38" s="114">
        <f t="shared" si="1"/>
        <v>67089922874</v>
      </c>
      <c r="K38" s="32">
        <v>29.0</v>
      </c>
      <c r="L38" s="114">
        <f t="shared" si="2"/>
        <v>1E+32</v>
      </c>
      <c r="O38" s="32">
        <v>29.0</v>
      </c>
      <c r="P38" s="114">
        <f t="shared" si="3"/>
        <v>2E+34</v>
      </c>
      <c r="S38" s="32">
        <v>29.0</v>
      </c>
      <c r="T38" s="114">
        <f t="shared" si="4"/>
        <v>3E+35</v>
      </c>
      <c r="W38" s="32">
        <v>29.0</v>
      </c>
      <c r="X38" s="114">
        <f t="shared" si="5"/>
        <v>4E+36</v>
      </c>
      <c r="AA38" s="32">
        <v>29.0</v>
      </c>
      <c r="AB38" s="114">
        <f t="shared" si="6"/>
        <v>5E+37</v>
      </c>
    </row>
    <row r="39">
      <c r="G39" s="32">
        <v>30.0</v>
      </c>
      <c r="H39" s="114">
        <f t="shared" si="1"/>
        <v>230252615304</v>
      </c>
      <c r="K39" s="32">
        <v>30.0</v>
      </c>
      <c r="L39" s="114">
        <f t="shared" si="2"/>
        <v>1E+33</v>
      </c>
      <c r="O39" s="32">
        <v>30.0</v>
      </c>
      <c r="P39" s="114">
        <f t="shared" si="3"/>
        <v>2E+35</v>
      </c>
      <c r="S39" s="32">
        <v>30.0</v>
      </c>
      <c r="T39" s="114">
        <f t="shared" si="4"/>
        <v>3E+36</v>
      </c>
      <c r="W39" s="32">
        <v>30.0</v>
      </c>
      <c r="X39" s="114">
        <f t="shared" si="5"/>
        <v>4E+37</v>
      </c>
      <c r="AA39" s="32">
        <v>30.0</v>
      </c>
      <c r="AB39" s="114">
        <f t="shared" si="6"/>
        <v>5E+38</v>
      </c>
    </row>
    <row r="40">
      <c r="G40" s="32">
        <v>31.0</v>
      </c>
      <c r="H40" s="114">
        <f t="shared" si="1"/>
        <v>790226975724</v>
      </c>
      <c r="K40" s="32">
        <v>31.0</v>
      </c>
      <c r="L40" s="114">
        <f t="shared" si="2"/>
        <v>1E+34</v>
      </c>
      <c r="O40" s="32">
        <v>31.0</v>
      </c>
      <c r="P40" s="114">
        <f t="shared" si="3"/>
        <v>2E+36</v>
      </c>
      <c r="S40" s="32">
        <v>31.0</v>
      </c>
      <c r="T40" s="114">
        <f t="shared" si="4"/>
        <v>3E+37</v>
      </c>
      <c r="W40" s="32">
        <v>31.0</v>
      </c>
      <c r="X40" s="114">
        <f t="shared" si="5"/>
        <v>4E+38</v>
      </c>
      <c r="AA40" s="32">
        <v>31.0</v>
      </c>
      <c r="AB40" s="114">
        <f t="shared" si="6"/>
        <v>5E+39</v>
      </c>
    </row>
    <row r="41">
      <c r="G41" s="32">
        <v>32.0</v>
      </c>
      <c r="H41" s="114">
        <f t="shared" si="1"/>
        <v>2712058980683</v>
      </c>
      <c r="K41" s="32">
        <v>32.0</v>
      </c>
      <c r="L41" s="114">
        <f t="shared" si="2"/>
        <v>1E+35</v>
      </c>
      <c r="O41" s="32">
        <v>32.0</v>
      </c>
      <c r="P41" s="114">
        <f t="shared" si="3"/>
        <v>2E+37</v>
      </c>
      <c r="S41" s="32">
        <v>32.0</v>
      </c>
      <c r="T41" s="114">
        <f t="shared" si="4"/>
        <v>3E+38</v>
      </c>
      <c r="W41" s="32">
        <v>32.0</v>
      </c>
      <c r="X41" s="114">
        <f t="shared" si="5"/>
        <v>4E+39</v>
      </c>
      <c r="AA41" s="32">
        <v>32.0</v>
      </c>
      <c r="AB41" s="114">
        <f t="shared" si="6"/>
        <v>5E+40</v>
      </c>
    </row>
    <row r="42">
      <c r="G42" s="32">
        <v>33.0</v>
      </c>
      <c r="H42" s="114">
        <f t="shared" si="1"/>
        <v>9307786421705</v>
      </c>
      <c r="K42" s="32">
        <v>33.0</v>
      </c>
      <c r="L42" s="114">
        <f t="shared" si="2"/>
        <v>1E+36</v>
      </c>
      <c r="O42" s="32">
        <v>33.0</v>
      </c>
      <c r="P42" s="114">
        <f t="shared" si="3"/>
        <v>2E+38</v>
      </c>
      <c r="S42" s="32">
        <v>33.0</v>
      </c>
      <c r="T42" s="114">
        <f t="shared" si="4"/>
        <v>3E+39</v>
      </c>
      <c r="W42" s="32">
        <v>33.0</v>
      </c>
      <c r="X42" s="114">
        <f t="shared" si="5"/>
        <v>4E+40</v>
      </c>
      <c r="AA42" s="32">
        <v>33.0</v>
      </c>
      <c r="AB42" s="114">
        <f t="shared" si="6"/>
        <v>5E+41</v>
      </c>
    </row>
    <row r="43">
      <c r="G43" s="32">
        <v>34.0</v>
      </c>
      <c r="H43" s="114">
        <f t="shared" si="1"/>
        <v>31944322999290</v>
      </c>
      <c r="K43" s="32">
        <v>34.0</v>
      </c>
      <c r="L43" s="114">
        <f t="shared" si="2"/>
        <v>1E+37</v>
      </c>
      <c r="O43" s="32">
        <v>34.0</v>
      </c>
      <c r="P43" s="114">
        <f t="shared" si="3"/>
        <v>2E+39</v>
      </c>
      <c r="S43" s="32">
        <v>34.0</v>
      </c>
      <c r="T43" s="114">
        <f t="shared" si="4"/>
        <v>3E+40</v>
      </c>
      <c r="W43" s="32">
        <v>34.0</v>
      </c>
      <c r="X43" s="114">
        <f t="shared" si="5"/>
        <v>4E+41</v>
      </c>
      <c r="AA43" s="32">
        <v>34.0</v>
      </c>
      <c r="AB43" s="114">
        <f t="shared" si="6"/>
        <v>5E+42</v>
      </c>
    </row>
    <row r="44">
      <c r="G44" s="32">
        <v>35.0</v>
      </c>
      <c r="H44" s="114">
        <f t="shared" si="1"/>
        <v>109632916533563</v>
      </c>
      <c r="K44" s="32">
        <v>35.0</v>
      </c>
      <c r="L44" s="114">
        <f t="shared" si="2"/>
        <v>1E+38</v>
      </c>
      <c r="O44" s="32">
        <v>35.0</v>
      </c>
      <c r="P44" s="114">
        <f t="shared" si="3"/>
        <v>2E+40</v>
      </c>
      <c r="S44" s="32">
        <v>35.0</v>
      </c>
      <c r="T44" s="114">
        <f t="shared" si="4"/>
        <v>3E+41</v>
      </c>
      <c r="W44" s="32">
        <v>35.0</v>
      </c>
      <c r="X44" s="114">
        <f t="shared" si="5"/>
        <v>4E+42</v>
      </c>
      <c r="AA44" s="32">
        <v>35.0</v>
      </c>
      <c r="AB44" s="114">
        <f t="shared" si="6"/>
        <v>5E+43</v>
      </c>
    </row>
    <row r="45">
      <c r="G45" s="32">
        <v>36.0</v>
      </c>
      <c r="H45" s="114">
        <f t="shared" si="1"/>
        <v>376260169543188</v>
      </c>
      <c r="K45" s="32">
        <v>36.0</v>
      </c>
      <c r="L45" s="114">
        <f t="shared" si="2"/>
        <v>1E+39</v>
      </c>
      <c r="O45" s="32">
        <v>36.0</v>
      </c>
      <c r="P45" s="114">
        <f t="shared" si="3"/>
        <v>2E+41</v>
      </c>
      <c r="S45" s="32">
        <v>36.0</v>
      </c>
      <c r="T45" s="114">
        <f t="shared" si="4"/>
        <v>3E+42</v>
      </c>
      <c r="W45" s="32">
        <v>36.0</v>
      </c>
      <c r="X45" s="114">
        <f t="shared" si="5"/>
        <v>4E+43</v>
      </c>
      <c r="AA45" s="32">
        <v>36.0</v>
      </c>
      <c r="AB45" s="114">
        <f t="shared" si="6"/>
        <v>5E+44</v>
      </c>
    </row>
    <row r="46">
      <c r="G46" s="32">
        <v>37.0</v>
      </c>
      <c r="H46" s="114">
        <f t="shared" si="1"/>
        <v>1.29132E+15</v>
      </c>
      <c r="K46" s="32">
        <v>37.0</v>
      </c>
      <c r="L46" s="114">
        <f t="shared" si="2"/>
        <v>1E+40</v>
      </c>
      <c r="O46" s="32">
        <v>37.0</v>
      </c>
      <c r="P46" s="114">
        <f t="shared" si="3"/>
        <v>2E+42</v>
      </c>
      <c r="S46" s="32">
        <v>37.0</v>
      </c>
      <c r="T46" s="114">
        <f t="shared" si="4"/>
        <v>3E+43</v>
      </c>
      <c r="W46" s="32">
        <v>37.0</v>
      </c>
      <c r="X46" s="114">
        <f t="shared" si="5"/>
        <v>4E+44</v>
      </c>
      <c r="AA46" s="32">
        <v>37.0</v>
      </c>
      <c r="AB46" s="114">
        <f t="shared" si="6"/>
        <v>5E+45</v>
      </c>
    </row>
    <row r="47">
      <c r="G47" s="32">
        <v>38.0</v>
      </c>
      <c r="H47" s="114">
        <f t="shared" si="1"/>
        <v>4.43183E+15</v>
      </c>
      <c r="K47" s="32">
        <v>38.0</v>
      </c>
      <c r="L47" s="114">
        <f t="shared" si="2"/>
        <v>1E+41</v>
      </c>
      <c r="O47" s="32">
        <v>38.0</v>
      </c>
      <c r="P47" s="114">
        <f t="shared" si="3"/>
        <v>2E+43</v>
      </c>
      <c r="S47" s="32">
        <v>38.0</v>
      </c>
      <c r="T47" s="114">
        <f t="shared" si="4"/>
        <v>3E+44</v>
      </c>
      <c r="W47" s="32">
        <v>38.0</v>
      </c>
      <c r="X47" s="114">
        <f t="shared" si="5"/>
        <v>4E+45</v>
      </c>
      <c r="AA47" s="32">
        <v>38.0</v>
      </c>
      <c r="AB47" s="114">
        <f t="shared" si="6"/>
        <v>5E+46</v>
      </c>
    </row>
    <row r="48">
      <c r="G48" s="32">
        <v>39.0</v>
      </c>
      <c r="H48" s="114">
        <f t="shared" si="1"/>
        <v>1.521E+16</v>
      </c>
      <c r="K48" s="32">
        <v>39.0</v>
      </c>
      <c r="L48" s="114">
        <f t="shared" si="2"/>
        <v>1E+42</v>
      </c>
      <c r="O48" s="32">
        <v>39.0</v>
      </c>
      <c r="P48" s="114">
        <f t="shared" si="3"/>
        <v>2E+44</v>
      </c>
      <c r="S48" s="32">
        <v>39.0</v>
      </c>
      <c r="T48" s="114">
        <f t="shared" si="4"/>
        <v>3E+45</v>
      </c>
      <c r="W48" s="32">
        <v>39.0</v>
      </c>
      <c r="X48" s="114">
        <f t="shared" si="5"/>
        <v>4E+46</v>
      </c>
      <c r="AA48" s="32">
        <v>39.0</v>
      </c>
      <c r="AB48" s="114">
        <f t="shared" si="6"/>
        <v>5E+47</v>
      </c>
    </row>
    <row r="49">
      <c r="G49" s="32">
        <v>40.0</v>
      </c>
      <c r="H49" s="114">
        <f t="shared" si="1"/>
        <v>7.30812E+16</v>
      </c>
      <c r="K49" s="32">
        <v>40.0</v>
      </c>
      <c r="L49" s="114">
        <f t="shared" si="2"/>
        <v>1E+43</v>
      </c>
      <c r="O49" s="32">
        <v>40.0</v>
      </c>
      <c r="P49" s="114">
        <f t="shared" si="3"/>
        <v>2E+45</v>
      </c>
      <c r="S49" s="32">
        <v>40.0</v>
      </c>
      <c r="T49" s="114">
        <f t="shared" si="4"/>
        <v>3E+46</v>
      </c>
      <c r="W49" s="32">
        <v>40.0</v>
      </c>
      <c r="X49" s="114">
        <f t="shared" si="5"/>
        <v>4E+47</v>
      </c>
      <c r="AA49" s="32">
        <v>40.0</v>
      </c>
      <c r="AB49" s="114">
        <f t="shared" si="6"/>
        <v>5E+48</v>
      </c>
    </row>
    <row r="50">
      <c r="G50" s="32">
        <v>41.0</v>
      </c>
      <c r="H50" s="114">
        <f t="shared" si="1"/>
        <v>3.5114E+17</v>
      </c>
      <c r="K50" s="32">
        <v>41.0</v>
      </c>
      <c r="L50" s="114">
        <f t="shared" si="2"/>
        <v>1E+44</v>
      </c>
      <c r="O50" s="32">
        <v>41.0</v>
      </c>
      <c r="P50" s="114">
        <f t="shared" si="3"/>
        <v>2E+46</v>
      </c>
      <c r="S50" s="32">
        <v>41.0</v>
      </c>
      <c r="T50" s="114">
        <f t="shared" si="4"/>
        <v>3E+47</v>
      </c>
      <c r="W50" s="32">
        <v>41.0</v>
      </c>
      <c r="X50" s="114">
        <f t="shared" si="5"/>
        <v>4E+48</v>
      </c>
      <c r="AA50" s="32">
        <v>41.0</v>
      </c>
      <c r="AB50" s="114">
        <f t="shared" si="6"/>
        <v>5E+49</v>
      </c>
    </row>
    <row r="51">
      <c r="G51" s="32">
        <v>42.0</v>
      </c>
      <c r="H51" s="114">
        <f t="shared" si="1"/>
        <v>1.68716E+18</v>
      </c>
      <c r="K51" s="32">
        <v>42.0</v>
      </c>
      <c r="L51" s="114">
        <f t="shared" si="2"/>
        <v>1E+45</v>
      </c>
      <c r="O51" s="32">
        <v>42.0</v>
      </c>
      <c r="P51" s="114">
        <f t="shared" si="3"/>
        <v>2E+47</v>
      </c>
      <c r="S51" s="32">
        <v>42.0</v>
      </c>
      <c r="T51" s="114">
        <f t="shared" si="4"/>
        <v>3E+48</v>
      </c>
      <c r="W51" s="32">
        <v>42.0</v>
      </c>
      <c r="X51" s="114">
        <f t="shared" si="5"/>
        <v>4E+49</v>
      </c>
      <c r="AA51" s="32">
        <v>42.0</v>
      </c>
      <c r="AB51" s="114">
        <f t="shared" si="6"/>
        <v>5E+50</v>
      </c>
    </row>
    <row r="52">
      <c r="G52" s="32">
        <v>43.0</v>
      </c>
      <c r="H52" s="114">
        <f t="shared" si="1"/>
        <v>8.10646E+18</v>
      </c>
      <c r="K52" s="32">
        <v>43.0</v>
      </c>
      <c r="L52" s="114">
        <f t="shared" si="2"/>
        <v>1E+46</v>
      </c>
      <c r="O52" s="32">
        <v>43.0</v>
      </c>
      <c r="P52" s="114">
        <f t="shared" si="3"/>
        <v>2E+48</v>
      </c>
      <c r="S52" s="32">
        <v>43.0</v>
      </c>
      <c r="T52" s="114">
        <f t="shared" si="4"/>
        <v>3E+49</v>
      </c>
      <c r="W52" s="32">
        <v>43.0</v>
      </c>
      <c r="X52" s="114">
        <f t="shared" si="5"/>
        <v>4E+50</v>
      </c>
      <c r="AA52" s="32">
        <v>43.0</v>
      </c>
      <c r="AB52" s="114">
        <f t="shared" si="6"/>
        <v>5E+51</v>
      </c>
    </row>
    <row r="53">
      <c r="G53" s="32">
        <v>44.0</v>
      </c>
      <c r="H53" s="114">
        <f t="shared" si="1"/>
        <v>3.89499E+19</v>
      </c>
      <c r="K53" s="32">
        <v>44.0</v>
      </c>
      <c r="L53" s="114">
        <f t="shared" si="2"/>
        <v>1E+47</v>
      </c>
      <c r="O53" s="32">
        <v>44.0</v>
      </c>
      <c r="P53" s="114">
        <f t="shared" si="3"/>
        <v>2E+49</v>
      </c>
      <c r="S53" s="32">
        <v>44.0</v>
      </c>
      <c r="T53" s="114">
        <f t="shared" si="4"/>
        <v>3E+50</v>
      </c>
      <c r="W53" s="32">
        <v>44.0</v>
      </c>
      <c r="X53" s="114">
        <f t="shared" si="5"/>
        <v>4E+51</v>
      </c>
      <c r="AA53" s="32">
        <v>44.0</v>
      </c>
      <c r="AB53" s="114">
        <f t="shared" si="6"/>
        <v>5E+52</v>
      </c>
    </row>
    <row r="54">
      <c r="G54" s="32">
        <v>45.0</v>
      </c>
      <c r="H54" s="114">
        <f t="shared" si="1"/>
        <v>1.87147E+20</v>
      </c>
      <c r="K54" s="32">
        <v>45.0</v>
      </c>
      <c r="L54" s="114">
        <f t="shared" si="2"/>
        <v>1E+48</v>
      </c>
      <c r="O54" s="32">
        <v>45.0</v>
      </c>
      <c r="P54" s="114">
        <f t="shared" si="3"/>
        <v>2E+50</v>
      </c>
      <c r="S54" s="32">
        <v>45.0</v>
      </c>
      <c r="T54" s="114">
        <f t="shared" si="4"/>
        <v>3E+51</v>
      </c>
      <c r="W54" s="32">
        <v>45.0</v>
      </c>
      <c r="X54" s="114">
        <f t="shared" si="5"/>
        <v>4E+52</v>
      </c>
      <c r="AA54" s="32">
        <v>45.0</v>
      </c>
      <c r="AB54" s="114">
        <f t="shared" si="6"/>
        <v>5E+53</v>
      </c>
    </row>
    <row r="55">
      <c r="G55" s="32">
        <v>46.0</v>
      </c>
      <c r="H55" s="114">
        <f t="shared" si="1"/>
        <v>8.99202E+20</v>
      </c>
      <c r="K55" s="32">
        <v>46.0</v>
      </c>
      <c r="L55" s="114">
        <f t="shared" si="2"/>
        <v>1E+49</v>
      </c>
      <c r="O55" s="32">
        <v>46.0</v>
      </c>
      <c r="P55" s="114">
        <f t="shared" si="3"/>
        <v>2E+51</v>
      </c>
      <c r="S55" s="32">
        <v>46.0</v>
      </c>
      <c r="T55" s="114">
        <f t="shared" si="4"/>
        <v>3E+52</v>
      </c>
      <c r="W55" s="32">
        <v>46.0</v>
      </c>
      <c r="X55" s="114">
        <f t="shared" si="5"/>
        <v>4E+53</v>
      </c>
      <c r="AA55" s="32">
        <v>46.0</v>
      </c>
      <c r="AB55" s="114">
        <f t="shared" si="6"/>
        <v>5E+54</v>
      </c>
    </row>
    <row r="56">
      <c r="G56" s="32">
        <v>47.0</v>
      </c>
      <c r="H56" s="114">
        <f t="shared" si="1"/>
        <v>4.32049E+21</v>
      </c>
      <c r="K56" s="32">
        <v>47.0</v>
      </c>
      <c r="L56" s="114">
        <f t="shared" si="2"/>
        <v>1E+50</v>
      </c>
      <c r="O56" s="32">
        <v>47.0</v>
      </c>
      <c r="P56" s="114">
        <f t="shared" si="3"/>
        <v>2E+52</v>
      </c>
      <c r="S56" s="32">
        <v>47.0</v>
      </c>
      <c r="T56" s="114">
        <f t="shared" si="4"/>
        <v>3E+53</v>
      </c>
      <c r="W56" s="32">
        <v>47.0</v>
      </c>
      <c r="X56" s="114">
        <f t="shared" si="5"/>
        <v>4E+54</v>
      </c>
      <c r="AA56" s="32">
        <v>47.0</v>
      </c>
      <c r="AB56" s="114">
        <f t="shared" si="6"/>
        <v>5E+55</v>
      </c>
    </row>
    <row r="57">
      <c r="G57" s="32">
        <v>48.0</v>
      </c>
      <c r="H57" s="114">
        <f t="shared" si="1"/>
        <v>2.07591E+22</v>
      </c>
      <c r="K57" s="32">
        <v>48.0</v>
      </c>
      <c r="L57" s="114">
        <f t="shared" si="2"/>
        <v>1E+51</v>
      </c>
      <c r="O57" s="32">
        <v>48.0</v>
      </c>
      <c r="P57" s="114">
        <f t="shared" si="3"/>
        <v>2E+53</v>
      </c>
      <c r="S57" s="32">
        <v>48.0</v>
      </c>
      <c r="T57" s="114">
        <f t="shared" si="4"/>
        <v>3E+54</v>
      </c>
      <c r="W57" s="32">
        <v>48.0</v>
      </c>
      <c r="X57" s="114">
        <f t="shared" si="5"/>
        <v>4E+55</v>
      </c>
      <c r="AA57" s="32">
        <v>48.0</v>
      </c>
      <c r="AB57" s="114">
        <f t="shared" si="6"/>
        <v>5E+56</v>
      </c>
    </row>
    <row r="58">
      <c r="G58" s="32">
        <v>49.0</v>
      </c>
      <c r="H58" s="114">
        <f t="shared" si="1"/>
        <v>9.97432E+22</v>
      </c>
      <c r="K58" s="32">
        <v>49.0</v>
      </c>
      <c r="L58" s="114">
        <f t="shared" si="2"/>
        <v>1E+52</v>
      </c>
      <c r="O58" s="32">
        <v>49.0</v>
      </c>
      <c r="P58" s="114">
        <f t="shared" si="3"/>
        <v>2E+54</v>
      </c>
      <c r="S58" s="32">
        <v>49.0</v>
      </c>
      <c r="T58" s="114">
        <f t="shared" si="4"/>
        <v>3E+55</v>
      </c>
      <c r="W58" s="32">
        <v>49.0</v>
      </c>
      <c r="X58" s="114">
        <f t="shared" si="5"/>
        <v>4E+56</v>
      </c>
      <c r="AA58" s="32">
        <v>49.0</v>
      </c>
      <c r="AB58" s="114">
        <f t="shared" si="6"/>
        <v>5E+57</v>
      </c>
    </row>
    <row r="59">
      <c r="G59" s="32">
        <v>50.0</v>
      </c>
      <c r="H59" s="32" t="s">
        <v>97</v>
      </c>
      <c r="K59" s="32">
        <v>50.0</v>
      </c>
      <c r="L59" s="32" t="s">
        <v>97</v>
      </c>
      <c r="O59" s="32">
        <v>50.0</v>
      </c>
      <c r="P59" s="32" t="s">
        <v>97</v>
      </c>
      <c r="S59" s="32">
        <v>50.0</v>
      </c>
      <c r="T59" s="32" t="s">
        <v>97</v>
      </c>
      <c r="W59" s="32">
        <v>50.0</v>
      </c>
      <c r="X59" s="32" t="s">
        <v>97</v>
      </c>
      <c r="AA59" s="32">
        <v>50.0</v>
      </c>
      <c r="AB59" s="32" t="s">
        <v>97</v>
      </c>
    </row>
  </sheetData>
  <mergeCells count="7">
    <mergeCell ref="B4:D4"/>
    <mergeCell ref="G4:H4"/>
    <mergeCell ref="K4:L4"/>
    <mergeCell ref="O4:P4"/>
    <mergeCell ref="S4:T4"/>
    <mergeCell ref="W4:X4"/>
    <mergeCell ref="AA4:AB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4.13"/>
    <col customWidth="1" min="5" max="5" width="4.5"/>
    <col customWidth="1" min="6" max="6" width="4.88"/>
    <col customWidth="1" min="8" max="8" width="13.38"/>
    <col customWidth="1" min="9" max="9" width="3.88"/>
    <col customWidth="1" min="10" max="10" width="4.5"/>
    <col customWidth="1" min="13" max="13" width="4.13"/>
    <col customWidth="1" min="14" max="14" width="4.0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>
      <c r="A4" s="117"/>
      <c r="B4" s="119" t="s">
        <v>140</v>
      </c>
      <c r="E4" s="117"/>
      <c r="F4" s="117"/>
      <c r="G4" s="120" t="s">
        <v>141</v>
      </c>
      <c r="I4" s="117"/>
      <c r="J4" s="117"/>
      <c r="K4" s="120" t="s">
        <v>142</v>
      </c>
      <c r="M4" s="117"/>
      <c r="N4" s="117"/>
      <c r="O4" s="120" t="s">
        <v>128</v>
      </c>
      <c r="Q4" s="120"/>
    </row>
    <row r="5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>
      <c r="A6" s="114"/>
      <c r="B6" s="114"/>
      <c r="C6" s="114"/>
      <c r="D6" s="114"/>
      <c r="E6" s="114"/>
      <c r="F6" s="114"/>
      <c r="G6" s="121" t="s">
        <v>63</v>
      </c>
      <c r="H6" s="121">
        <v>5.0</v>
      </c>
      <c r="I6" s="114"/>
      <c r="J6" s="114"/>
      <c r="K6" s="121" t="s">
        <v>63</v>
      </c>
      <c r="L6" s="121">
        <v>20.0</v>
      </c>
      <c r="M6" s="114"/>
      <c r="N6" s="114"/>
      <c r="O6" s="121" t="s">
        <v>63</v>
      </c>
      <c r="P6" s="121">
        <v>1.0</v>
      </c>
      <c r="Q6" s="121"/>
    </row>
    <row r="7">
      <c r="A7" s="114"/>
      <c r="B7" s="114"/>
      <c r="C7" s="114"/>
      <c r="D7" s="114"/>
      <c r="E7" s="114"/>
      <c r="F7" s="114"/>
      <c r="G7" s="121" t="s">
        <v>64</v>
      </c>
      <c r="H7" s="121">
        <v>2.5</v>
      </c>
      <c r="I7" s="114"/>
      <c r="J7" s="114"/>
      <c r="K7" s="121" t="s">
        <v>64</v>
      </c>
      <c r="L7" s="121">
        <v>2.5</v>
      </c>
      <c r="M7" s="114"/>
      <c r="N7" s="114"/>
      <c r="O7" s="121" t="s">
        <v>64</v>
      </c>
      <c r="P7" s="121">
        <v>100.0</v>
      </c>
      <c r="Q7" s="121"/>
    </row>
    <row r="8">
      <c r="A8" s="114"/>
      <c r="B8" s="121" t="s">
        <v>65</v>
      </c>
      <c r="C8" s="121" t="s">
        <v>66</v>
      </c>
      <c r="D8" s="121" t="s">
        <v>67</v>
      </c>
      <c r="E8" s="114"/>
      <c r="F8" s="114"/>
      <c r="G8" s="121" t="s">
        <v>65</v>
      </c>
      <c r="H8" s="121" t="s">
        <v>66</v>
      </c>
      <c r="I8" s="114"/>
      <c r="J8" s="114"/>
      <c r="K8" s="114"/>
      <c r="L8" s="121"/>
      <c r="M8" s="114"/>
      <c r="N8" s="114"/>
      <c r="O8" s="114"/>
      <c r="P8" s="114"/>
      <c r="Q8" s="114"/>
    </row>
    <row r="9">
      <c r="A9" s="114"/>
      <c r="B9" s="122">
        <v>0.0</v>
      </c>
      <c r="C9" s="122">
        <v>30.0</v>
      </c>
      <c r="D9" s="121" t="s">
        <v>126</v>
      </c>
      <c r="E9" s="114"/>
      <c r="F9" s="114"/>
      <c r="G9" s="121">
        <v>0.0</v>
      </c>
      <c r="H9" s="42">
        <f t="shared" ref="H9:H58" si="1">$H$6*($H$7^G9)*MAX(1.2^(G9-9),1)*MAX(1.3^(G9-19),1)*MAX(1.4^(G9-29),1)*MAX(2^(G9-39),1)</f>
        <v>5</v>
      </c>
      <c r="I9" s="114"/>
      <c r="J9" s="114"/>
      <c r="K9" s="121">
        <v>0.0</v>
      </c>
      <c r="L9" s="42">
        <f t="shared" ref="L9:L58" si="2">$L$6*($L$7^K9)*MAX(1.3^(K9-9), 1)*MAX(1.4^(K9-19), 1)*MAX(1.5^(K9-29), 1)*MAX(1.5^(K9-39), 1)</f>
        <v>20</v>
      </c>
      <c r="M9" s="114"/>
      <c r="N9" s="114"/>
      <c r="O9" s="121">
        <v>0.0</v>
      </c>
      <c r="P9" s="42">
        <f t="shared" ref="P9:P39" si="3">$P$6*($P$7^$O9)</f>
        <v>1</v>
      </c>
      <c r="Q9" s="114"/>
    </row>
    <row r="10">
      <c r="A10" s="114"/>
      <c r="B10" s="122">
        <v>1.0</v>
      </c>
      <c r="C10" s="122">
        <v>150.0</v>
      </c>
      <c r="D10" s="121" t="s">
        <v>127</v>
      </c>
      <c r="E10" s="114"/>
      <c r="F10" s="114"/>
      <c r="G10" s="121">
        <v>1.0</v>
      </c>
      <c r="H10" s="42">
        <f t="shared" si="1"/>
        <v>12.5</v>
      </c>
      <c r="I10" s="114"/>
      <c r="J10" s="114"/>
      <c r="K10" s="121">
        <v>1.0</v>
      </c>
      <c r="L10" s="42">
        <f t="shared" si="2"/>
        <v>50</v>
      </c>
      <c r="M10" s="114"/>
      <c r="N10" s="114"/>
      <c r="O10" s="121">
        <v>1.0</v>
      </c>
      <c r="P10" s="42">
        <f t="shared" si="3"/>
        <v>100</v>
      </c>
      <c r="Q10" s="114"/>
    </row>
    <row r="11">
      <c r="A11" s="114"/>
      <c r="B11" s="122">
        <v>2.0</v>
      </c>
      <c r="C11" s="122">
        <v>1000.0</v>
      </c>
      <c r="D11" s="121" t="s">
        <v>128</v>
      </c>
      <c r="E11" s="114"/>
      <c r="F11" s="114"/>
      <c r="G11" s="121">
        <v>2.0</v>
      </c>
      <c r="H11" s="42">
        <f t="shared" si="1"/>
        <v>31.25</v>
      </c>
      <c r="I11" s="114"/>
      <c r="J11" s="114"/>
      <c r="K11" s="121">
        <v>2.0</v>
      </c>
      <c r="L11" s="42">
        <f t="shared" si="2"/>
        <v>125</v>
      </c>
      <c r="M11" s="114"/>
      <c r="N11" s="114"/>
      <c r="O11" s="121">
        <v>2.0</v>
      </c>
      <c r="P11" s="42">
        <f t="shared" si="3"/>
        <v>10000</v>
      </c>
      <c r="Q11" s="114"/>
    </row>
    <row r="12">
      <c r="A12" s="114"/>
      <c r="B12" s="114"/>
      <c r="C12" s="114"/>
      <c r="D12" s="114"/>
      <c r="E12" s="114"/>
      <c r="F12" s="114"/>
      <c r="G12" s="121">
        <v>3.0</v>
      </c>
      <c r="H12" s="42">
        <f t="shared" si="1"/>
        <v>78.125</v>
      </c>
      <c r="I12" s="114"/>
      <c r="J12" s="114"/>
      <c r="K12" s="121">
        <v>3.0</v>
      </c>
      <c r="L12" s="42">
        <f t="shared" si="2"/>
        <v>312.5</v>
      </c>
      <c r="M12" s="114"/>
      <c r="N12" s="114"/>
      <c r="O12" s="121">
        <v>3.0</v>
      </c>
      <c r="P12" s="42">
        <f t="shared" si="3"/>
        <v>1000000</v>
      </c>
      <c r="Q12" s="114"/>
    </row>
    <row r="13">
      <c r="A13" s="114"/>
      <c r="B13" s="114"/>
      <c r="C13" s="114"/>
      <c r="D13" s="114"/>
      <c r="E13" s="114"/>
      <c r="F13" s="114"/>
      <c r="G13" s="121">
        <v>4.0</v>
      </c>
      <c r="H13" s="42">
        <f t="shared" si="1"/>
        <v>195.3125</v>
      </c>
      <c r="I13" s="114"/>
      <c r="J13" s="114"/>
      <c r="K13" s="121">
        <v>4.0</v>
      </c>
      <c r="L13" s="42">
        <f t="shared" si="2"/>
        <v>781.25</v>
      </c>
      <c r="M13" s="114"/>
      <c r="N13" s="114"/>
      <c r="O13" s="121">
        <v>4.0</v>
      </c>
      <c r="P13" s="42">
        <f t="shared" si="3"/>
        <v>100000000</v>
      </c>
      <c r="Q13" s="114"/>
    </row>
    <row r="14">
      <c r="A14" s="114"/>
      <c r="B14" s="114"/>
      <c r="C14" s="114"/>
      <c r="D14" s="114"/>
      <c r="E14" s="114"/>
      <c r="F14" s="114"/>
      <c r="G14" s="121">
        <v>5.0</v>
      </c>
      <c r="H14" s="42">
        <f t="shared" si="1"/>
        <v>488.28125</v>
      </c>
      <c r="I14" s="114"/>
      <c r="J14" s="114"/>
      <c r="K14" s="121">
        <v>5.0</v>
      </c>
      <c r="L14" s="42">
        <f t="shared" si="2"/>
        <v>1953.125</v>
      </c>
      <c r="M14" s="114"/>
      <c r="N14" s="114"/>
      <c r="O14" s="121">
        <v>5.0</v>
      </c>
      <c r="P14" s="42">
        <f t="shared" si="3"/>
        <v>10000000000</v>
      </c>
      <c r="Q14" s="114"/>
    </row>
    <row r="15">
      <c r="A15" s="114"/>
      <c r="B15" s="114"/>
      <c r="C15" s="114"/>
      <c r="D15" s="114"/>
      <c r="E15" s="114"/>
      <c r="F15" s="114"/>
      <c r="G15" s="121">
        <v>6.0</v>
      </c>
      <c r="H15" s="42">
        <f t="shared" si="1"/>
        <v>1220.703125</v>
      </c>
      <c r="I15" s="114"/>
      <c r="J15" s="114"/>
      <c r="K15" s="121">
        <v>6.0</v>
      </c>
      <c r="L15" s="42">
        <f t="shared" si="2"/>
        <v>4882.8125</v>
      </c>
      <c r="M15" s="114"/>
      <c r="N15" s="114"/>
      <c r="O15" s="121">
        <v>6.0</v>
      </c>
      <c r="P15" s="42">
        <f t="shared" si="3"/>
        <v>1000000000000</v>
      </c>
      <c r="Q15" s="114"/>
    </row>
    <row r="16">
      <c r="A16" s="114"/>
      <c r="B16" s="114"/>
      <c r="C16" s="114"/>
      <c r="D16" s="114"/>
      <c r="E16" s="114"/>
      <c r="F16" s="114"/>
      <c r="G16" s="121">
        <v>7.0</v>
      </c>
      <c r="H16" s="42">
        <f t="shared" si="1"/>
        <v>3051.757813</v>
      </c>
      <c r="I16" s="114"/>
      <c r="J16" s="114"/>
      <c r="K16" s="121">
        <v>7.0</v>
      </c>
      <c r="L16" s="42">
        <f t="shared" si="2"/>
        <v>12207.03125</v>
      </c>
      <c r="M16" s="114"/>
      <c r="N16" s="114"/>
      <c r="O16" s="121">
        <v>7.0</v>
      </c>
      <c r="P16" s="42">
        <f t="shared" si="3"/>
        <v>100000000000000</v>
      </c>
      <c r="Q16" s="114"/>
    </row>
    <row r="17">
      <c r="A17" s="114"/>
      <c r="B17" s="114"/>
      <c r="C17" s="114"/>
      <c r="D17" s="114"/>
      <c r="E17" s="114"/>
      <c r="F17" s="114"/>
      <c r="G17" s="121">
        <v>8.0</v>
      </c>
      <c r="H17" s="42">
        <f t="shared" si="1"/>
        <v>7629.394531</v>
      </c>
      <c r="I17" s="114"/>
      <c r="J17" s="114"/>
      <c r="K17" s="121">
        <v>8.0</v>
      </c>
      <c r="L17" s="42">
        <f t="shared" si="2"/>
        <v>30517.57813</v>
      </c>
      <c r="M17" s="114"/>
      <c r="N17" s="114"/>
      <c r="O17" s="121">
        <v>8.0</v>
      </c>
      <c r="P17" s="42">
        <f t="shared" si="3"/>
        <v>1E+16</v>
      </c>
      <c r="Q17" s="114"/>
    </row>
    <row r="18">
      <c r="A18" s="114"/>
      <c r="B18" s="114"/>
      <c r="C18" s="114"/>
      <c r="D18" s="114"/>
      <c r="E18" s="114"/>
      <c r="F18" s="114"/>
      <c r="G18" s="121">
        <v>9.0</v>
      </c>
      <c r="H18" s="42">
        <f t="shared" si="1"/>
        <v>19073.48633</v>
      </c>
      <c r="I18" s="114"/>
      <c r="J18" s="114"/>
      <c r="K18" s="121">
        <v>9.0</v>
      </c>
      <c r="L18" s="42">
        <f t="shared" si="2"/>
        <v>76293.94531</v>
      </c>
      <c r="M18" s="114"/>
      <c r="N18" s="114"/>
      <c r="O18" s="121">
        <v>9.0</v>
      </c>
      <c r="P18" s="42">
        <f t="shared" si="3"/>
        <v>1E+18</v>
      </c>
      <c r="Q18" s="114"/>
    </row>
    <row r="19">
      <c r="A19" s="114"/>
      <c r="B19" s="114"/>
      <c r="C19" s="114"/>
      <c r="D19" s="114"/>
      <c r="E19" s="114"/>
      <c r="F19" s="114"/>
      <c r="G19" s="121">
        <v>10.0</v>
      </c>
      <c r="H19" s="42">
        <f t="shared" si="1"/>
        <v>57220.45898</v>
      </c>
      <c r="I19" s="114"/>
      <c r="J19" s="114"/>
      <c r="K19" s="121">
        <v>10.0</v>
      </c>
      <c r="L19" s="42">
        <f t="shared" si="2"/>
        <v>247955.3223</v>
      </c>
      <c r="M19" s="114"/>
      <c r="N19" s="114"/>
      <c r="O19" s="121">
        <v>10.0</v>
      </c>
      <c r="P19" s="42">
        <f t="shared" si="3"/>
        <v>1E+20</v>
      </c>
      <c r="Q19" s="114"/>
    </row>
    <row r="20">
      <c r="A20" s="114"/>
      <c r="B20" s="114"/>
      <c r="C20" s="114"/>
      <c r="D20" s="114"/>
      <c r="E20" s="114"/>
      <c r="F20" s="114"/>
      <c r="G20" s="121">
        <v>11.0</v>
      </c>
      <c r="H20" s="42">
        <f t="shared" si="1"/>
        <v>171661.377</v>
      </c>
      <c r="I20" s="114"/>
      <c r="J20" s="114"/>
      <c r="K20" s="121">
        <v>11.0</v>
      </c>
      <c r="L20" s="42">
        <f t="shared" si="2"/>
        <v>805854.7974</v>
      </c>
      <c r="M20" s="114"/>
      <c r="N20" s="114"/>
      <c r="O20" s="121">
        <v>11.0</v>
      </c>
      <c r="P20" s="42">
        <f t="shared" si="3"/>
        <v>1E+22</v>
      </c>
      <c r="Q20" s="114"/>
    </row>
    <row r="21">
      <c r="A21" s="114"/>
      <c r="B21" s="114"/>
      <c r="C21" s="114"/>
      <c r="D21" s="114"/>
      <c r="E21" s="114"/>
      <c r="F21" s="114"/>
      <c r="G21" s="121">
        <v>12.0</v>
      </c>
      <c r="H21" s="42">
        <f t="shared" si="1"/>
        <v>514984.1309</v>
      </c>
      <c r="I21" s="114"/>
      <c r="J21" s="114"/>
      <c r="K21" s="121">
        <v>12.0</v>
      </c>
      <c r="L21" s="42">
        <f t="shared" si="2"/>
        <v>2619028.091</v>
      </c>
      <c r="M21" s="114"/>
      <c r="N21" s="114"/>
      <c r="O21" s="121">
        <v>12.0</v>
      </c>
      <c r="P21" s="42">
        <f t="shared" si="3"/>
        <v>1E+24</v>
      </c>
      <c r="Q21" s="114"/>
    </row>
    <row r="22">
      <c r="A22" s="114"/>
      <c r="B22" s="114"/>
      <c r="C22" s="114"/>
      <c r="D22" s="114"/>
      <c r="E22" s="114"/>
      <c r="F22" s="114"/>
      <c r="G22" s="121">
        <v>13.0</v>
      </c>
      <c r="H22" s="42">
        <f t="shared" si="1"/>
        <v>1544952.393</v>
      </c>
      <c r="I22" s="114"/>
      <c r="J22" s="114"/>
      <c r="K22" s="121">
        <v>13.0</v>
      </c>
      <c r="L22" s="42">
        <f t="shared" si="2"/>
        <v>8511841.297</v>
      </c>
      <c r="M22" s="114"/>
      <c r="N22" s="114"/>
      <c r="O22" s="121">
        <v>13.0</v>
      </c>
      <c r="P22" s="42">
        <f t="shared" si="3"/>
        <v>1E+26</v>
      </c>
      <c r="Q22" s="114"/>
    </row>
    <row r="23">
      <c r="A23" s="114"/>
      <c r="B23" s="114"/>
      <c r="C23" s="114"/>
      <c r="D23" s="114"/>
      <c r="E23" s="114"/>
      <c r="F23" s="114"/>
      <c r="G23" s="121">
        <v>14.0</v>
      </c>
      <c r="H23" s="42">
        <f t="shared" si="1"/>
        <v>4634857.178</v>
      </c>
      <c r="I23" s="114"/>
      <c r="J23" s="114"/>
      <c r="K23" s="121">
        <v>14.0</v>
      </c>
      <c r="L23" s="42">
        <f t="shared" si="2"/>
        <v>27663484.22</v>
      </c>
      <c r="M23" s="114"/>
      <c r="N23" s="114"/>
      <c r="O23" s="121">
        <v>14.0</v>
      </c>
      <c r="P23" s="42">
        <f t="shared" si="3"/>
        <v>1E+28</v>
      </c>
      <c r="Q23" s="114"/>
    </row>
    <row r="24">
      <c r="A24" s="114"/>
      <c r="B24" s="114"/>
      <c r="C24" s="114"/>
      <c r="D24" s="114"/>
      <c r="E24" s="114"/>
      <c r="F24" s="114"/>
      <c r="G24" s="121">
        <v>15.0</v>
      </c>
      <c r="H24" s="42">
        <f t="shared" si="1"/>
        <v>13904571.53</v>
      </c>
      <c r="I24" s="114"/>
      <c r="J24" s="114"/>
      <c r="K24" s="121">
        <v>15.0</v>
      </c>
      <c r="L24" s="42">
        <f t="shared" si="2"/>
        <v>89906323.7</v>
      </c>
      <c r="M24" s="114"/>
      <c r="N24" s="114"/>
      <c r="O24" s="121">
        <v>15.0</v>
      </c>
      <c r="P24" s="42">
        <f t="shared" si="3"/>
        <v>1E+30</v>
      </c>
      <c r="Q24" s="114"/>
    </row>
    <row r="25">
      <c r="A25" s="114"/>
      <c r="B25" s="114"/>
      <c r="C25" s="114"/>
      <c r="D25" s="114"/>
      <c r="E25" s="114"/>
      <c r="F25" s="114"/>
      <c r="G25" s="121">
        <v>16.0</v>
      </c>
      <c r="H25" s="42">
        <f t="shared" si="1"/>
        <v>41713714.6</v>
      </c>
      <c r="I25" s="114"/>
      <c r="J25" s="114"/>
      <c r="K25" s="121">
        <v>16.0</v>
      </c>
      <c r="L25" s="42">
        <f t="shared" si="2"/>
        <v>292195552</v>
      </c>
      <c r="M25" s="114"/>
      <c r="N25" s="114"/>
      <c r="O25" s="121">
        <v>16.0</v>
      </c>
      <c r="P25" s="42">
        <f t="shared" si="3"/>
        <v>1E+32</v>
      </c>
      <c r="Q25" s="114"/>
    </row>
    <row r="26">
      <c r="A26" s="114"/>
      <c r="B26" s="114"/>
      <c r="C26" s="114"/>
      <c r="D26" s="114"/>
      <c r="E26" s="114"/>
      <c r="F26" s="114"/>
      <c r="G26" s="121">
        <v>17.0</v>
      </c>
      <c r="H26" s="42">
        <f t="shared" si="1"/>
        <v>125141143.8</v>
      </c>
      <c r="I26" s="114"/>
      <c r="J26" s="114"/>
      <c r="K26" s="121">
        <v>17.0</v>
      </c>
      <c r="L26" s="42">
        <f t="shared" si="2"/>
        <v>949635544.1</v>
      </c>
      <c r="M26" s="114"/>
      <c r="N26" s="114"/>
      <c r="O26" s="121">
        <v>17.0</v>
      </c>
      <c r="P26" s="42">
        <f t="shared" si="3"/>
        <v>1E+34</v>
      </c>
      <c r="Q26" s="114"/>
    </row>
    <row r="27">
      <c r="A27" s="114"/>
      <c r="B27" s="114"/>
      <c r="C27" s="114"/>
      <c r="D27" s="114"/>
      <c r="E27" s="114"/>
      <c r="F27" s="114"/>
      <c r="G27" s="121">
        <v>18.0</v>
      </c>
      <c r="H27" s="42">
        <f t="shared" si="1"/>
        <v>375423431.4</v>
      </c>
      <c r="I27" s="114"/>
      <c r="J27" s="114"/>
      <c r="K27" s="121">
        <v>18.0</v>
      </c>
      <c r="L27" s="42">
        <f t="shared" si="2"/>
        <v>3086315518</v>
      </c>
      <c r="M27" s="114"/>
      <c r="N27" s="114"/>
      <c r="O27" s="121">
        <v>18.0</v>
      </c>
      <c r="P27" s="42">
        <f t="shared" si="3"/>
        <v>1E+36</v>
      </c>
      <c r="Q27" s="114"/>
    </row>
    <row r="28">
      <c r="A28" s="114"/>
      <c r="B28" s="114"/>
      <c r="C28" s="114"/>
      <c r="D28" s="114"/>
      <c r="E28" s="114"/>
      <c r="F28" s="114"/>
      <c r="G28" s="121">
        <v>19.0</v>
      </c>
      <c r="H28" s="42">
        <f t="shared" si="1"/>
        <v>1126270294</v>
      </c>
      <c r="I28" s="114"/>
      <c r="J28" s="114"/>
      <c r="K28" s="121">
        <v>19.0</v>
      </c>
      <c r="L28" s="42">
        <f t="shared" si="2"/>
        <v>10030525434</v>
      </c>
      <c r="M28" s="114"/>
      <c r="N28" s="114"/>
      <c r="O28" s="121">
        <v>19.0</v>
      </c>
      <c r="P28" s="42">
        <f t="shared" si="3"/>
        <v>1E+38</v>
      </c>
      <c r="Q28" s="114"/>
    </row>
    <row r="29">
      <c r="A29" s="114"/>
      <c r="B29" s="114"/>
      <c r="C29" s="114"/>
      <c r="D29" s="114"/>
      <c r="E29" s="114"/>
      <c r="F29" s="114"/>
      <c r="G29" s="121">
        <v>20.0</v>
      </c>
      <c r="H29" s="42">
        <f t="shared" si="1"/>
        <v>4392454147</v>
      </c>
      <c r="I29" s="114"/>
      <c r="J29" s="114"/>
      <c r="K29" s="121">
        <v>20.0</v>
      </c>
      <c r="L29" s="42">
        <f t="shared" si="2"/>
        <v>45638890727</v>
      </c>
      <c r="M29" s="114"/>
      <c r="N29" s="114"/>
      <c r="O29" s="121">
        <v>20.0</v>
      </c>
      <c r="P29" s="42">
        <f t="shared" si="3"/>
        <v>1E+40</v>
      </c>
      <c r="Q29" s="114"/>
    </row>
    <row r="30">
      <c r="A30" s="114"/>
      <c r="B30" s="114"/>
      <c r="C30" s="114"/>
      <c r="D30" s="114"/>
      <c r="E30" s="114"/>
      <c r="F30" s="114"/>
      <c r="G30" s="121">
        <v>21.0</v>
      </c>
      <c r="H30" s="42">
        <f t="shared" si="1"/>
        <v>17130571175</v>
      </c>
      <c r="I30" s="114"/>
      <c r="J30" s="114"/>
      <c r="K30" s="121">
        <v>21.0</v>
      </c>
      <c r="L30" s="42">
        <f t="shared" si="2"/>
        <v>207656952807</v>
      </c>
      <c r="M30" s="114"/>
      <c r="N30" s="114"/>
      <c r="O30" s="121">
        <v>21.0</v>
      </c>
      <c r="P30" s="42">
        <f t="shared" si="3"/>
        <v>1E+42</v>
      </c>
      <c r="Q30" s="114"/>
    </row>
    <row r="31">
      <c r="A31" s="114"/>
      <c r="B31" s="114"/>
      <c r="C31" s="114"/>
      <c r="D31" s="114"/>
      <c r="E31" s="114"/>
      <c r="F31" s="114"/>
      <c r="G31" s="121">
        <v>22.0</v>
      </c>
      <c r="H31" s="42">
        <f t="shared" si="1"/>
        <v>66809227581</v>
      </c>
      <c r="I31" s="114"/>
      <c r="J31" s="114"/>
      <c r="K31" s="121">
        <v>22.0</v>
      </c>
      <c r="L31" s="42">
        <f t="shared" si="2"/>
        <v>944839135274</v>
      </c>
      <c r="M31" s="114"/>
      <c r="N31" s="114"/>
      <c r="O31" s="121">
        <v>22.0</v>
      </c>
      <c r="P31" s="42">
        <f t="shared" si="3"/>
        <v>1E+44</v>
      </c>
      <c r="Q31" s="114"/>
    </row>
    <row r="32">
      <c r="A32" s="114"/>
      <c r="B32" s="114"/>
      <c r="C32" s="114"/>
      <c r="D32" s="114"/>
      <c r="E32" s="114"/>
      <c r="F32" s="114"/>
      <c r="G32" s="121">
        <v>23.0</v>
      </c>
      <c r="H32" s="42">
        <f t="shared" si="1"/>
        <v>260555987566</v>
      </c>
      <c r="I32" s="114"/>
      <c r="J32" s="114"/>
      <c r="K32" s="121">
        <v>23.0</v>
      </c>
      <c r="L32" s="42">
        <f t="shared" si="2"/>
        <v>4299018065496</v>
      </c>
      <c r="M32" s="114"/>
      <c r="N32" s="114"/>
      <c r="O32" s="121">
        <v>23.0</v>
      </c>
      <c r="P32" s="42">
        <f t="shared" si="3"/>
        <v>1E+46</v>
      </c>
      <c r="Q32" s="114"/>
    </row>
    <row r="33">
      <c r="A33" s="114"/>
      <c r="B33" s="114"/>
      <c r="C33" s="114"/>
      <c r="D33" s="114"/>
      <c r="E33" s="114"/>
      <c r="F33" s="114"/>
      <c r="G33" s="121">
        <v>24.0</v>
      </c>
      <c r="H33" s="42">
        <f t="shared" si="1"/>
        <v>1016168351507</v>
      </c>
      <c r="I33" s="114"/>
      <c r="J33" s="114"/>
      <c r="K33" s="121">
        <v>24.0</v>
      </c>
      <c r="L33" s="42">
        <f t="shared" si="2"/>
        <v>19560532198007</v>
      </c>
      <c r="M33" s="114"/>
      <c r="N33" s="114"/>
      <c r="O33" s="121">
        <v>24.0</v>
      </c>
      <c r="P33" s="42">
        <f t="shared" si="3"/>
        <v>1E+48</v>
      </c>
      <c r="Q33" s="114"/>
    </row>
    <row r="34">
      <c r="A34" s="114"/>
      <c r="B34" s="114"/>
      <c r="C34" s="114"/>
      <c r="D34" s="114"/>
      <c r="E34" s="114"/>
      <c r="F34" s="114"/>
      <c r="G34" s="121">
        <v>25.0</v>
      </c>
      <c r="H34" s="42">
        <f t="shared" si="1"/>
        <v>3963056570879</v>
      </c>
      <c r="I34" s="114"/>
      <c r="J34" s="114"/>
      <c r="K34" s="121">
        <v>25.0</v>
      </c>
      <c r="L34" s="42">
        <f t="shared" si="2"/>
        <v>89000421500932</v>
      </c>
      <c r="M34" s="114"/>
      <c r="N34" s="114"/>
      <c r="O34" s="121">
        <v>25.0</v>
      </c>
      <c r="P34" s="42">
        <f t="shared" si="3"/>
        <v>1E+50</v>
      </c>
      <c r="Q34" s="114"/>
    </row>
    <row r="35">
      <c r="A35" s="114"/>
      <c r="B35" s="114"/>
      <c r="C35" s="114"/>
      <c r="D35" s="114"/>
      <c r="E35" s="114"/>
      <c r="F35" s="114"/>
      <c r="G35" s="121">
        <v>26.0</v>
      </c>
      <c r="H35" s="42">
        <f t="shared" si="1"/>
        <v>15455920626427</v>
      </c>
      <c r="I35" s="114"/>
      <c r="J35" s="114"/>
      <c r="K35" s="121">
        <v>26.0</v>
      </c>
      <c r="L35" s="42">
        <f t="shared" si="2"/>
        <v>404951917829241</v>
      </c>
      <c r="M35" s="114"/>
      <c r="N35" s="114"/>
      <c r="O35" s="121">
        <v>26.0</v>
      </c>
      <c r="P35" s="42">
        <f t="shared" si="3"/>
        <v>1E+52</v>
      </c>
      <c r="Q35" s="114"/>
    </row>
    <row r="36">
      <c r="A36" s="114"/>
      <c r="B36" s="114"/>
      <c r="C36" s="114"/>
      <c r="D36" s="114"/>
      <c r="E36" s="114"/>
      <c r="F36" s="114"/>
      <c r="G36" s="121">
        <v>27.0</v>
      </c>
      <c r="H36" s="42">
        <f t="shared" si="1"/>
        <v>60278090443066</v>
      </c>
      <c r="I36" s="114"/>
      <c r="J36" s="114"/>
      <c r="K36" s="121">
        <v>27.0</v>
      </c>
      <c r="L36" s="42">
        <f t="shared" si="2"/>
        <v>1.84253E+15</v>
      </c>
      <c r="M36" s="114"/>
      <c r="N36" s="114"/>
      <c r="O36" s="121">
        <v>27.0</v>
      </c>
      <c r="P36" s="42">
        <f t="shared" si="3"/>
        <v>1E+54</v>
      </c>
      <c r="Q36" s="114"/>
    </row>
    <row r="37">
      <c r="A37" s="114"/>
      <c r="B37" s="114"/>
      <c r="C37" s="114"/>
      <c r="D37" s="114"/>
      <c r="E37" s="114"/>
      <c r="F37" s="114"/>
      <c r="G37" s="121">
        <v>28.0</v>
      </c>
      <c r="H37" s="42">
        <f t="shared" si="1"/>
        <v>235084552727958</v>
      </c>
      <c r="I37" s="114"/>
      <c r="J37" s="114"/>
      <c r="K37" s="121">
        <v>28.0</v>
      </c>
      <c r="L37" s="42">
        <f t="shared" si="2"/>
        <v>8.38352E+15</v>
      </c>
      <c r="M37" s="114"/>
      <c r="N37" s="114"/>
      <c r="O37" s="121">
        <v>28.0</v>
      </c>
      <c r="P37" s="42">
        <f t="shared" si="3"/>
        <v>1E+56</v>
      </c>
      <c r="Q37" s="114"/>
    </row>
    <row r="38">
      <c r="A38" s="114"/>
      <c r="B38" s="114"/>
      <c r="C38" s="114"/>
      <c r="D38" s="114"/>
      <c r="E38" s="114"/>
      <c r="F38" s="114"/>
      <c r="G38" s="121">
        <v>29.0</v>
      </c>
      <c r="H38" s="42">
        <f t="shared" si="1"/>
        <v>916829755639036</v>
      </c>
      <c r="I38" s="114"/>
      <c r="J38" s="114"/>
      <c r="K38" s="121">
        <v>29.0</v>
      </c>
      <c r="L38" s="42">
        <f t="shared" si="2"/>
        <v>3.8145E+16</v>
      </c>
      <c r="M38" s="114"/>
      <c r="N38" s="114"/>
      <c r="O38" s="121">
        <v>29.0</v>
      </c>
      <c r="P38" s="42">
        <f t="shared" si="3"/>
        <v>1E+58</v>
      </c>
      <c r="Q38" s="114"/>
    </row>
    <row r="39">
      <c r="A39" s="114"/>
      <c r="B39" s="114"/>
      <c r="C39" s="114"/>
      <c r="D39" s="114"/>
      <c r="E39" s="114"/>
      <c r="F39" s="114"/>
      <c r="G39" s="121">
        <v>30.0</v>
      </c>
      <c r="H39" s="42">
        <f t="shared" si="1"/>
        <v>5.00589E+15</v>
      </c>
      <c r="I39" s="114"/>
      <c r="J39" s="114"/>
      <c r="K39" s="121">
        <v>30.0</v>
      </c>
      <c r="L39" s="42">
        <f t="shared" si="2"/>
        <v>2.6034E+17</v>
      </c>
      <c r="M39" s="114"/>
      <c r="N39" s="114"/>
      <c r="O39" s="121">
        <v>30.0</v>
      </c>
      <c r="P39" s="42">
        <f t="shared" si="3"/>
        <v>1E+60</v>
      </c>
      <c r="Q39" s="114"/>
    </row>
    <row r="40">
      <c r="A40" s="114"/>
      <c r="B40" s="114"/>
      <c r="C40" s="114"/>
      <c r="D40" s="114"/>
      <c r="E40" s="114"/>
      <c r="F40" s="114"/>
      <c r="G40" s="121">
        <v>31.0</v>
      </c>
      <c r="H40" s="42">
        <f t="shared" si="1"/>
        <v>2.73322E+16</v>
      </c>
      <c r="I40" s="114"/>
      <c r="J40" s="114"/>
      <c r="K40" s="121">
        <v>31.0</v>
      </c>
      <c r="L40" s="42">
        <f t="shared" si="2"/>
        <v>1.77682E+18</v>
      </c>
      <c r="M40" s="114"/>
      <c r="N40" s="114"/>
      <c r="O40" s="114"/>
      <c r="P40" s="114"/>
      <c r="Q40" s="114"/>
    </row>
    <row r="41">
      <c r="A41" s="114"/>
      <c r="B41" s="114"/>
      <c r="C41" s="114"/>
      <c r="D41" s="114"/>
      <c r="E41" s="114"/>
      <c r="F41" s="114"/>
      <c r="G41" s="121">
        <v>32.0</v>
      </c>
      <c r="H41" s="42">
        <f t="shared" si="1"/>
        <v>1.49234E+17</v>
      </c>
      <c r="I41" s="114"/>
      <c r="J41" s="114"/>
      <c r="K41" s="121">
        <v>32.0</v>
      </c>
      <c r="L41" s="42">
        <f t="shared" si="2"/>
        <v>1.21268E+19</v>
      </c>
      <c r="M41" s="114"/>
      <c r="N41" s="114"/>
      <c r="O41" s="114"/>
      <c r="P41" s="114"/>
      <c r="Q41" s="114"/>
    </row>
    <row r="42">
      <c r="A42" s="114"/>
      <c r="B42" s="114"/>
      <c r="C42" s="114"/>
      <c r="D42" s="114"/>
      <c r="E42" s="114"/>
      <c r="F42" s="114"/>
      <c r="G42" s="121">
        <v>33.0</v>
      </c>
      <c r="H42" s="42">
        <f t="shared" si="1"/>
        <v>8.14815E+17</v>
      </c>
      <c r="I42" s="114"/>
      <c r="J42" s="114"/>
      <c r="K42" s="121">
        <v>33.0</v>
      </c>
      <c r="L42" s="42">
        <f t="shared" si="2"/>
        <v>8.27653E+19</v>
      </c>
      <c r="M42" s="114"/>
      <c r="N42" s="114"/>
      <c r="O42" s="114"/>
      <c r="P42" s="114"/>
      <c r="Q42" s="114"/>
    </row>
    <row r="43">
      <c r="A43" s="114"/>
      <c r="B43" s="114"/>
      <c r="C43" s="114"/>
      <c r="D43" s="114"/>
      <c r="E43" s="114"/>
      <c r="F43" s="114"/>
      <c r="G43" s="121">
        <v>34.0</v>
      </c>
      <c r="H43" s="42">
        <f t="shared" si="1"/>
        <v>4.44889E+18</v>
      </c>
      <c r="I43" s="114"/>
      <c r="J43" s="114"/>
      <c r="K43" s="121">
        <v>34.0</v>
      </c>
      <c r="L43" s="42">
        <f t="shared" si="2"/>
        <v>5.64873E+20</v>
      </c>
      <c r="M43" s="114"/>
      <c r="N43" s="114"/>
      <c r="O43" s="114"/>
      <c r="P43" s="114"/>
      <c r="Q43" s="114"/>
    </row>
    <row r="44">
      <c r="A44" s="114"/>
      <c r="B44" s="114"/>
      <c r="C44" s="114"/>
      <c r="D44" s="114"/>
      <c r="E44" s="114"/>
      <c r="F44" s="114"/>
      <c r="G44" s="121">
        <v>35.0</v>
      </c>
      <c r="H44" s="42">
        <f t="shared" si="1"/>
        <v>2.4291E+19</v>
      </c>
      <c r="I44" s="114"/>
      <c r="J44" s="114"/>
      <c r="K44" s="121">
        <v>35.0</v>
      </c>
      <c r="L44" s="42">
        <f t="shared" si="2"/>
        <v>3.85526E+21</v>
      </c>
      <c r="M44" s="114"/>
      <c r="N44" s="114"/>
      <c r="O44" s="114"/>
      <c r="P44" s="114"/>
      <c r="Q44" s="114"/>
    </row>
    <row r="45">
      <c r="A45" s="114"/>
      <c r="B45" s="114"/>
      <c r="C45" s="114"/>
      <c r="D45" s="114"/>
      <c r="E45" s="114"/>
      <c r="F45" s="114"/>
      <c r="G45" s="121">
        <v>36.0</v>
      </c>
      <c r="H45" s="42">
        <f t="shared" si="1"/>
        <v>1.32629E+20</v>
      </c>
      <c r="I45" s="114"/>
      <c r="J45" s="114"/>
      <c r="K45" s="121">
        <v>36.0</v>
      </c>
      <c r="L45" s="42">
        <f t="shared" si="2"/>
        <v>2.63121E+22</v>
      </c>
      <c r="M45" s="114"/>
      <c r="N45" s="114"/>
      <c r="O45" s="114"/>
      <c r="P45" s="114"/>
      <c r="Q45" s="114"/>
    </row>
    <row r="46">
      <c r="A46" s="114"/>
      <c r="B46" s="114"/>
      <c r="C46" s="114"/>
      <c r="D46" s="114"/>
      <c r="E46" s="114"/>
      <c r="F46" s="114"/>
      <c r="G46" s="121">
        <v>37.0</v>
      </c>
      <c r="H46" s="42">
        <f t="shared" si="1"/>
        <v>7.24152E+20</v>
      </c>
      <c r="I46" s="114"/>
      <c r="J46" s="114"/>
      <c r="K46" s="121">
        <v>37.0</v>
      </c>
      <c r="L46" s="42">
        <f t="shared" si="2"/>
        <v>1.7958E+23</v>
      </c>
      <c r="M46" s="114"/>
      <c r="N46" s="114"/>
      <c r="O46" s="114"/>
      <c r="P46" s="114"/>
      <c r="Q46" s="114"/>
    </row>
    <row r="47">
      <c r="A47" s="114"/>
      <c r="B47" s="114"/>
      <c r="C47" s="114"/>
      <c r="D47" s="114"/>
      <c r="E47" s="114"/>
      <c r="F47" s="114"/>
      <c r="G47" s="121">
        <v>38.0</v>
      </c>
      <c r="H47" s="42">
        <f t="shared" si="1"/>
        <v>3.95387E+21</v>
      </c>
      <c r="I47" s="114"/>
      <c r="J47" s="114"/>
      <c r="K47" s="121">
        <v>38.0</v>
      </c>
      <c r="L47" s="42">
        <f t="shared" si="2"/>
        <v>1.22564E+24</v>
      </c>
      <c r="M47" s="114"/>
      <c r="N47" s="114"/>
      <c r="O47" s="114"/>
      <c r="P47" s="114"/>
      <c r="Q47" s="114"/>
    </row>
    <row r="48">
      <c r="A48" s="114"/>
      <c r="B48" s="114"/>
      <c r="C48" s="114"/>
      <c r="D48" s="114"/>
      <c r="E48" s="114"/>
      <c r="F48" s="114"/>
      <c r="G48" s="121">
        <v>39.0</v>
      </c>
      <c r="H48" s="42">
        <f t="shared" si="1"/>
        <v>2.15881E+22</v>
      </c>
      <c r="I48" s="114"/>
      <c r="J48" s="114"/>
      <c r="K48" s="121">
        <v>39.0</v>
      </c>
      <c r="L48" s="42">
        <f t="shared" si="2"/>
        <v>8.36497E+24</v>
      </c>
      <c r="M48" s="114"/>
      <c r="N48" s="114"/>
      <c r="O48" s="114"/>
      <c r="P48" s="114"/>
      <c r="Q48" s="114"/>
    </row>
    <row r="49">
      <c r="A49" s="114"/>
      <c r="B49" s="114"/>
      <c r="C49" s="114"/>
      <c r="D49" s="114"/>
      <c r="E49" s="114"/>
      <c r="F49" s="114"/>
      <c r="G49" s="121">
        <v>40.0</v>
      </c>
      <c r="H49" s="42">
        <f t="shared" si="1"/>
        <v>2.35742E+23</v>
      </c>
      <c r="I49" s="114"/>
      <c r="J49" s="114"/>
      <c r="K49" s="121">
        <v>40.0</v>
      </c>
      <c r="L49" s="42">
        <f t="shared" si="2"/>
        <v>8.56363E+25</v>
      </c>
      <c r="M49" s="114"/>
      <c r="N49" s="114"/>
      <c r="O49" s="114"/>
      <c r="P49" s="114"/>
      <c r="Q49" s="114"/>
    </row>
    <row r="50">
      <c r="A50" s="114"/>
      <c r="B50" s="114"/>
      <c r="C50" s="114"/>
      <c r="D50" s="114"/>
      <c r="E50" s="114"/>
      <c r="F50" s="114"/>
      <c r="G50" s="121">
        <v>41.0</v>
      </c>
      <c r="H50" s="42">
        <f t="shared" si="1"/>
        <v>2.57431E+24</v>
      </c>
      <c r="I50" s="114"/>
      <c r="J50" s="114"/>
      <c r="K50" s="121">
        <v>41.0</v>
      </c>
      <c r="L50" s="42">
        <f t="shared" si="2"/>
        <v>8.76702E+26</v>
      </c>
      <c r="M50" s="114"/>
      <c r="N50" s="114"/>
      <c r="O50" s="114"/>
      <c r="P50" s="114"/>
      <c r="Q50" s="114"/>
    </row>
    <row r="51">
      <c r="A51" s="114"/>
      <c r="B51" s="114"/>
      <c r="C51" s="114"/>
      <c r="D51" s="114"/>
      <c r="E51" s="114"/>
      <c r="F51" s="114"/>
      <c r="G51" s="121">
        <v>42.0</v>
      </c>
      <c r="H51" s="42">
        <f t="shared" si="1"/>
        <v>2.81114E+25</v>
      </c>
      <c r="I51" s="114"/>
      <c r="J51" s="114"/>
      <c r="K51" s="121">
        <v>42.0</v>
      </c>
      <c r="L51" s="42">
        <f t="shared" si="2"/>
        <v>8.97524E+27</v>
      </c>
      <c r="M51" s="114"/>
      <c r="N51" s="114"/>
      <c r="O51" s="114"/>
      <c r="P51" s="114"/>
      <c r="Q51" s="114"/>
    </row>
    <row r="52">
      <c r="A52" s="114"/>
      <c r="B52" s="114"/>
      <c r="C52" s="114"/>
      <c r="D52" s="114"/>
      <c r="E52" s="114"/>
      <c r="F52" s="114"/>
      <c r="G52" s="121">
        <v>43.0</v>
      </c>
      <c r="H52" s="42">
        <f t="shared" si="1"/>
        <v>3.06977E+26</v>
      </c>
      <c r="I52" s="114"/>
      <c r="J52" s="114"/>
      <c r="K52" s="121">
        <v>43.0</v>
      </c>
      <c r="L52" s="42">
        <f t="shared" si="2"/>
        <v>9.1884E+28</v>
      </c>
      <c r="M52" s="114"/>
      <c r="N52" s="114"/>
      <c r="O52" s="114"/>
      <c r="P52" s="114"/>
      <c r="Q52" s="114"/>
    </row>
    <row r="53">
      <c r="A53" s="114"/>
      <c r="B53" s="114"/>
      <c r="C53" s="114"/>
      <c r="D53" s="114"/>
      <c r="E53" s="114"/>
      <c r="F53" s="114"/>
      <c r="G53" s="121">
        <v>44.0</v>
      </c>
      <c r="H53" s="42">
        <f t="shared" si="1"/>
        <v>3.35219E+27</v>
      </c>
      <c r="I53" s="114"/>
      <c r="J53" s="114"/>
      <c r="K53" s="121">
        <v>44.0</v>
      </c>
      <c r="L53" s="42">
        <f t="shared" si="2"/>
        <v>9.40662E+29</v>
      </c>
      <c r="M53" s="114"/>
      <c r="N53" s="114"/>
      <c r="O53" s="114"/>
      <c r="P53" s="114"/>
      <c r="Q53" s="114"/>
    </row>
    <row r="54">
      <c r="A54" s="114"/>
      <c r="B54" s="114"/>
      <c r="C54" s="114"/>
      <c r="D54" s="114"/>
      <c r="E54" s="114"/>
      <c r="F54" s="114"/>
      <c r="G54" s="121">
        <v>45.0</v>
      </c>
      <c r="H54" s="42">
        <f t="shared" si="1"/>
        <v>3.66059E+28</v>
      </c>
      <c r="I54" s="114"/>
      <c r="J54" s="114"/>
      <c r="K54" s="121">
        <v>45.0</v>
      </c>
      <c r="L54" s="42">
        <f t="shared" si="2"/>
        <v>9.63003E+30</v>
      </c>
      <c r="M54" s="114"/>
      <c r="N54" s="114"/>
      <c r="O54" s="114"/>
      <c r="P54" s="114"/>
      <c r="Q54" s="114"/>
    </row>
    <row r="55">
      <c r="A55" s="114"/>
      <c r="B55" s="114"/>
      <c r="C55" s="114"/>
      <c r="D55" s="114"/>
      <c r="E55" s="114"/>
      <c r="F55" s="114"/>
      <c r="G55" s="121">
        <v>46.0</v>
      </c>
      <c r="H55" s="42">
        <f t="shared" si="1"/>
        <v>3.99736E+29</v>
      </c>
      <c r="I55" s="114"/>
      <c r="J55" s="114"/>
      <c r="K55" s="121">
        <v>46.0</v>
      </c>
      <c r="L55" s="42">
        <f t="shared" si="2"/>
        <v>9.85874E+31</v>
      </c>
      <c r="M55" s="114"/>
      <c r="N55" s="114"/>
      <c r="O55" s="114"/>
      <c r="P55" s="114"/>
      <c r="Q55" s="114"/>
    </row>
    <row r="56">
      <c r="A56" s="114"/>
      <c r="B56" s="114"/>
      <c r="C56" s="114"/>
      <c r="D56" s="114"/>
      <c r="E56" s="114"/>
      <c r="F56" s="114"/>
      <c r="G56" s="121">
        <v>47.0</v>
      </c>
      <c r="H56" s="42">
        <f t="shared" si="1"/>
        <v>4.36512E+30</v>
      </c>
      <c r="I56" s="114"/>
      <c r="J56" s="114"/>
      <c r="K56" s="121">
        <v>47.0</v>
      </c>
      <c r="L56" s="42">
        <f t="shared" si="2"/>
        <v>1.00929E+33</v>
      </c>
      <c r="M56" s="114"/>
      <c r="N56" s="114"/>
      <c r="O56" s="114"/>
      <c r="P56" s="114"/>
      <c r="Q56" s="114"/>
    </row>
    <row r="57">
      <c r="A57" s="114"/>
      <c r="B57" s="114"/>
      <c r="C57" s="114"/>
      <c r="D57" s="114"/>
      <c r="E57" s="114"/>
      <c r="F57" s="114"/>
      <c r="G57" s="121">
        <v>48.0</v>
      </c>
      <c r="H57" s="42">
        <f t="shared" si="1"/>
        <v>4.76671E+31</v>
      </c>
      <c r="I57" s="114"/>
      <c r="J57" s="114"/>
      <c r="K57" s="121">
        <v>48.0</v>
      </c>
      <c r="L57" s="42">
        <f t="shared" si="2"/>
        <v>1.03326E+34</v>
      </c>
      <c r="M57" s="114"/>
      <c r="N57" s="114"/>
      <c r="O57" s="114"/>
      <c r="P57" s="114"/>
      <c r="Q57" s="114"/>
    </row>
    <row r="58">
      <c r="A58" s="114"/>
      <c r="B58" s="114"/>
      <c r="C58" s="114"/>
      <c r="D58" s="114"/>
      <c r="E58" s="114"/>
      <c r="F58" s="114"/>
      <c r="G58" s="121">
        <v>49.0</v>
      </c>
      <c r="H58" s="42">
        <f t="shared" si="1"/>
        <v>5.20525E+32</v>
      </c>
      <c r="I58" s="114"/>
      <c r="J58" s="114"/>
      <c r="K58" s="121">
        <v>49.0</v>
      </c>
      <c r="L58" s="42">
        <f t="shared" si="2"/>
        <v>1.0578E+35</v>
      </c>
      <c r="M58" s="114"/>
      <c r="N58" s="114"/>
      <c r="O58" s="114"/>
      <c r="P58" s="114"/>
      <c r="Q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</row>
  </sheetData>
  <mergeCells count="4">
    <mergeCell ref="B4:D4"/>
    <mergeCell ref="G4:H4"/>
    <mergeCell ref="K4:L4"/>
    <mergeCell ref="O4:P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7.5"/>
    <col customWidth="1" min="5" max="5" width="4.5"/>
    <col customWidth="1" min="6" max="6" width="4.88"/>
    <col customWidth="1" min="8" max="8" width="13.38"/>
    <col customWidth="1" min="9" max="9" width="3.88"/>
    <col customWidth="1" min="10" max="10" width="4.5"/>
    <col customWidth="1" min="13" max="13" width="4.13"/>
    <col customWidth="1" min="14" max="14" width="4.0"/>
    <col customWidth="1" min="15" max="15" width="12.63"/>
    <col customWidth="1" min="17" max="18" width="3.13"/>
    <col customWidth="1" min="19" max="20" width="12.63"/>
    <col customWidth="1" min="21" max="21" width="3.5"/>
    <col customWidth="1" min="22" max="22" width="3.13"/>
    <col customWidth="1" min="23" max="24" width="12.63"/>
    <col customWidth="1" min="25" max="25" width="3.5"/>
    <col customWidth="1" min="26" max="26" width="3.13"/>
    <col customWidth="1" min="27" max="28" width="12.63"/>
    <col customWidth="1" min="29" max="29" width="3.5"/>
    <col customWidth="1" min="30" max="30" width="3.13"/>
    <col customWidth="1" min="31" max="32" width="12.63"/>
    <col customWidth="1" min="33" max="33" width="3.5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</row>
    <row r="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</row>
    <row r="4">
      <c r="A4" s="117"/>
      <c r="B4" s="119" t="s">
        <v>140</v>
      </c>
      <c r="E4" s="117"/>
      <c r="F4" s="117"/>
      <c r="G4" s="120" t="s">
        <v>146</v>
      </c>
      <c r="I4" s="117"/>
      <c r="J4" s="117"/>
      <c r="K4" s="120" t="s">
        <v>133</v>
      </c>
      <c r="M4" s="117"/>
      <c r="N4" s="117"/>
      <c r="O4" s="120" t="s">
        <v>134</v>
      </c>
      <c r="Q4" s="120"/>
      <c r="R4" s="120"/>
      <c r="S4" s="120" t="s">
        <v>130</v>
      </c>
      <c r="U4" s="120"/>
      <c r="V4" s="120"/>
      <c r="W4" s="120" t="s">
        <v>147</v>
      </c>
      <c r="Y4" s="120"/>
      <c r="Z4" s="120"/>
      <c r="AA4" s="120" t="s">
        <v>69</v>
      </c>
      <c r="AC4" s="120"/>
      <c r="AD4" s="120"/>
      <c r="AE4" s="120" t="s">
        <v>137</v>
      </c>
      <c r="AG4" s="120"/>
    </row>
    <row r="5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</row>
    <row r="6">
      <c r="A6" s="114"/>
      <c r="B6" s="114"/>
      <c r="C6" s="114"/>
      <c r="D6" s="114"/>
      <c r="E6" s="114"/>
      <c r="F6" s="114"/>
      <c r="G6" s="121" t="s">
        <v>63</v>
      </c>
      <c r="H6" s="121">
        <v>1.0</v>
      </c>
      <c r="I6" s="114"/>
      <c r="J6" s="114"/>
      <c r="K6" s="121" t="s">
        <v>63</v>
      </c>
      <c r="L6" s="121">
        <v>1000.0</v>
      </c>
      <c r="M6" s="114"/>
      <c r="N6" s="114"/>
      <c r="O6" s="121" t="s">
        <v>63</v>
      </c>
      <c r="P6" s="121">
        <v>10000.0</v>
      </c>
      <c r="Q6" s="121"/>
      <c r="R6" s="121"/>
      <c r="S6" s="121" t="s">
        <v>63</v>
      </c>
      <c r="T6" s="121">
        <v>50000.0</v>
      </c>
      <c r="U6" s="121"/>
      <c r="V6" s="121"/>
      <c r="W6" s="121" t="s">
        <v>63</v>
      </c>
      <c r="X6" s="121">
        <v>60000.0</v>
      </c>
      <c r="Y6" s="121"/>
      <c r="Z6" s="121"/>
      <c r="AA6" s="121" t="s">
        <v>63</v>
      </c>
      <c r="AB6" s="121">
        <v>70000.0</v>
      </c>
      <c r="AC6" s="121"/>
      <c r="AD6" s="121"/>
      <c r="AE6" s="121" t="s">
        <v>63</v>
      </c>
      <c r="AF6" s="121">
        <v>80000.0</v>
      </c>
      <c r="AG6" s="121"/>
    </row>
    <row r="7">
      <c r="A7" s="114"/>
      <c r="B7" s="114"/>
      <c r="C7" s="114"/>
      <c r="D7" s="114"/>
      <c r="E7" s="114"/>
      <c r="F7" s="114"/>
      <c r="G7" s="121" t="s">
        <v>64</v>
      </c>
      <c r="H7" s="121">
        <v>10.0</v>
      </c>
      <c r="I7" s="114"/>
      <c r="J7" s="114"/>
      <c r="K7" s="121" t="s">
        <v>64</v>
      </c>
      <c r="L7" s="121">
        <v>3.0</v>
      </c>
      <c r="M7" s="114"/>
      <c r="N7" s="114"/>
      <c r="O7" s="121" t="s">
        <v>64</v>
      </c>
      <c r="P7" s="121">
        <v>4.0</v>
      </c>
      <c r="Q7" s="121"/>
      <c r="R7" s="121"/>
      <c r="S7" s="121" t="s">
        <v>64</v>
      </c>
      <c r="T7" s="121">
        <v>1.8</v>
      </c>
      <c r="U7" s="121"/>
      <c r="V7" s="121"/>
      <c r="W7" s="121" t="s">
        <v>64</v>
      </c>
      <c r="X7" s="121">
        <v>2.2</v>
      </c>
      <c r="Y7" s="121"/>
      <c r="Z7" s="121"/>
      <c r="AA7" s="121" t="s">
        <v>64</v>
      </c>
      <c r="AB7" s="121">
        <v>2.8</v>
      </c>
      <c r="AC7" s="121"/>
      <c r="AD7" s="121"/>
      <c r="AE7" s="121" t="s">
        <v>64</v>
      </c>
      <c r="AF7" s="121">
        <v>3.5</v>
      </c>
      <c r="AG7" s="121"/>
    </row>
    <row r="8">
      <c r="A8" s="114"/>
      <c r="B8" s="121" t="s">
        <v>65</v>
      </c>
      <c r="C8" s="121" t="s">
        <v>66</v>
      </c>
      <c r="D8" s="121" t="s">
        <v>67</v>
      </c>
      <c r="E8" s="114"/>
      <c r="F8" s="114"/>
      <c r="G8" s="121" t="s">
        <v>65</v>
      </c>
      <c r="H8" s="121" t="s">
        <v>66</v>
      </c>
      <c r="I8" s="114"/>
      <c r="J8" s="114"/>
      <c r="K8" s="121" t="s">
        <v>65</v>
      </c>
      <c r="L8" s="121" t="s">
        <v>66</v>
      </c>
      <c r="M8" s="114"/>
      <c r="N8" s="114"/>
      <c r="O8" s="121" t="s">
        <v>65</v>
      </c>
      <c r="P8" s="121" t="s">
        <v>66</v>
      </c>
      <c r="Q8" s="114"/>
      <c r="R8" s="114"/>
      <c r="S8" s="121" t="s">
        <v>65</v>
      </c>
      <c r="T8" s="121" t="s">
        <v>66</v>
      </c>
      <c r="U8" s="114"/>
      <c r="V8" s="114"/>
      <c r="W8" s="121" t="s">
        <v>65</v>
      </c>
      <c r="X8" s="121" t="s">
        <v>66</v>
      </c>
      <c r="Y8" s="114"/>
      <c r="Z8" s="114"/>
      <c r="AA8" s="121" t="s">
        <v>65</v>
      </c>
      <c r="AB8" s="121" t="s">
        <v>66</v>
      </c>
      <c r="AC8" s="114"/>
      <c r="AD8" s="114"/>
      <c r="AE8" s="121" t="s">
        <v>65</v>
      </c>
      <c r="AF8" s="121" t="s">
        <v>66</v>
      </c>
      <c r="AG8" s="114"/>
    </row>
    <row r="9">
      <c r="A9" s="114"/>
      <c r="B9" s="122">
        <v>0.0</v>
      </c>
      <c r="C9" s="122">
        <v>555.0</v>
      </c>
      <c r="D9" s="121" t="s">
        <v>146</v>
      </c>
      <c r="E9" s="114"/>
      <c r="F9" s="114"/>
      <c r="G9" s="121">
        <v>0.0</v>
      </c>
      <c r="H9" s="42">
        <f t="shared" ref="H9:H317" si="1">H$6*(H$7^G9)</f>
        <v>1</v>
      </c>
      <c r="I9" s="114"/>
      <c r="J9" s="114"/>
      <c r="K9" s="121">
        <v>0.0</v>
      </c>
      <c r="L9" s="42">
        <f t="shared" ref="L9:L28" si="2">L$6*(L$7^K9)</f>
        <v>1000</v>
      </c>
      <c r="M9" s="114"/>
      <c r="N9" s="114"/>
      <c r="O9" s="121">
        <v>0.0</v>
      </c>
      <c r="P9" s="42">
        <f t="shared" ref="P9:P28" si="3">P$6*(P$7^O9)</f>
        <v>10000</v>
      </c>
      <c r="Q9" s="114"/>
      <c r="R9" s="114"/>
      <c r="S9" s="121">
        <v>0.0</v>
      </c>
      <c r="T9" s="42">
        <f t="shared" ref="T9:T23" si="4">T$6*(T$7^S9)*MAX(100^(S9-7),1)</f>
        <v>50000</v>
      </c>
      <c r="U9" s="114"/>
      <c r="V9" s="114"/>
      <c r="W9" s="121">
        <v>0.0</v>
      </c>
      <c r="X9" s="42">
        <f t="shared" ref="X9:X23" si="5">X$6*(X$7^W9)*MAX(100^(W9-7),1)</f>
        <v>60000</v>
      </c>
      <c r="Y9" s="114"/>
      <c r="Z9" s="114"/>
      <c r="AA9" s="121">
        <v>0.0</v>
      </c>
      <c r="AB9" s="42">
        <f t="shared" ref="AB9:AB23" si="6">AB$6*(AB$7^AA9)*MAX(100^(AA9-7),1)</f>
        <v>70000</v>
      </c>
      <c r="AC9" s="114"/>
      <c r="AD9" s="114"/>
      <c r="AE9" s="121">
        <v>0.0</v>
      </c>
      <c r="AF9" s="42">
        <f t="shared" ref="AF9:AF23" si="7">AF$6*(AF$7^AE9)*MAX(100^(AE9-7),1)</f>
        <v>80000</v>
      </c>
      <c r="AG9" s="114"/>
    </row>
    <row r="10">
      <c r="A10" s="114"/>
      <c r="B10" s="122">
        <v>1.0</v>
      </c>
      <c r="C10" s="122">
        <v>200000.0</v>
      </c>
      <c r="D10" s="121" t="s">
        <v>148</v>
      </c>
      <c r="E10" s="114"/>
      <c r="F10" s="114"/>
      <c r="G10" s="121">
        <v>1.0</v>
      </c>
      <c r="H10" s="42">
        <f t="shared" si="1"/>
        <v>10</v>
      </c>
      <c r="I10" s="114"/>
      <c r="J10" s="114"/>
      <c r="K10" s="121">
        <v>1.0</v>
      </c>
      <c r="L10" s="42">
        <f t="shared" si="2"/>
        <v>3000</v>
      </c>
      <c r="M10" s="114"/>
      <c r="N10" s="114"/>
      <c r="O10" s="121">
        <v>1.0</v>
      </c>
      <c r="P10" s="42">
        <f t="shared" si="3"/>
        <v>40000</v>
      </c>
      <c r="Q10" s="114"/>
      <c r="R10" s="114"/>
      <c r="S10" s="121">
        <v>1.0</v>
      </c>
      <c r="T10" s="42">
        <f t="shared" si="4"/>
        <v>90000</v>
      </c>
      <c r="U10" s="114"/>
      <c r="V10" s="114"/>
      <c r="W10" s="121">
        <v>1.0</v>
      </c>
      <c r="X10" s="42">
        <f t="shared" si="5"/>
        <v>132000</v>
      </c>
      <c r="Y10" s="114"/>
      <c r="Z10" s="114"/>
      <c r="AA10" s="121">
        <v>1.0</v>
      </c>
      <c r="AB10" s="42">
        <f t="shared" si="6"/>
        <v>196000</v>
      </c>
      <c r="AC10" s="114"/>
      <c r="AD10" s="114"/>
      <c r="AE10" s="121">
        <v>1.0</v>
      </c>
      <c r="AF10" s="42">
        <f t="shared" si="7"/>
        <v>280000</v>
      </c>
      <c r="AG10" s="114"/>
    </row>
    <row r="11">
      <c r="A11" s="114"/>
      <c r="B11" s="122">
        <v>2.0</v>
      </c>
      <c r="C11" s="122">
        <v>400000.0</v>
      </c>
      <c r="D11" s="121" t="s">
        <v>150</v>
      </c>
      <c r="E11" s="114"/>
      <c r="F11" s="114"/>
      <c r="G11" s="121">
        <v>2.0</v>
      </c>
      <c r="H11" s="42">
        <f t="shared" si="1"/>
        <v>100</v>
      </c>
      <c r="I11" s="114"/>
      <c r="J11" s="114"/>
      <c r="K11" s="121">
        <v>2.0</v>
      </c>
      <c r="L11" s="42">
        <f t="shared" si="2"/>
        <v>9000</v>
      </c>
      <c r="M11" s="114"/>
      <c r="N11" s="114"/>
      <c r="O11" s="121">
        <v>2.0</v>
      </c>
      <c r="P11" s="42">
        <f t="shared" si="3"/>
        <v>160000</v>
      </c>
      <c r="Q11" s="114"/>
      <c r="R11" s="114"/>
      <c r="S11" s="121">
        <v>2.0</v>
      </c>
      <c r="T11" s="42">
        <f t="shared" si="4"/>
        <v>162000</v>
      </c>
      <c r="U11" s="114"/>
      <c r="V11" s="114"/>
      <c r="W11" s="121">
        <v>2.0</v>
      </c>
      <c r="X11" s="42">
        <f t="shared" si="5"/>
        <v>290400</v>
      </c>
      <c r="Y11" s="114"/>
      <c r="Z11" s="114"/>
      <c r="AA11" s="121">
        <v>2.0</v>
      </c>
      <c r="AB11" s="42">
        <f t="shared" si="6"/>
        <v>548800</v>
      </c>
      <c r="AC11" s="114"/>
      <c r="AD11" s="114"/>
      <c r="AE11" s="121">
        <v>2.0</v>
      </c>
      <c r="AF11" s="42">
        <f t="shared" si="7"/>
        <v>980000</v>
      </c>
      <c r="AG11" s="114"/>
    </row>
    <row r="12">
      <c r="A12" s="114"/>
      <c r="B12" s="114"/>
      <c r="C12" s="114"/>
      <c r="D12" s="114"/>
      <c r="E12" s="114"/>
      <c r="F12" s="114"/>
      <c r="G12" s="121">
        <v>3.0</v>
      </c>
      <c r="H12" s="42">
        <f t="shared" si="1"/>
        <v>1000</v>
      </c>
      <c r="I12" s="114"/>
      <c r="J12" s="114"/>
      <c r="K12" s="121">
        <v>3.0</v>
      </c>
      <c r="L12" s="42">
        <f t="shared" si="2"/>
        <v>27000</v>
      </c>
      <c r="M12" s="114"/>
      <c r="N12" s="114"/>
      <c r="O12" s="121">
        <v>3.0</v>
      </c>
      <c r="P12" s="42">
        <f t="shared" si="3"/>
        <v>640000</v>
      </c>
      <c r="Q12" s="114"/>
      <c r="R12" s="114"/>
      <c r="S12" s="121">
        <v>3.0</v>
      </c>
      <c r="T12" s="42">
        <f t="shared" si="4"/>
        <v>291600</v>
      </c>
      <c r="U12" s="114"/>
      <c r="V12" s="114"/>
      <c r="W12" s="121">
        <v>3.0</v>
      </c>
      <c r="X12" s="42">
        <f t="shared" si="5"/>
        <v>638880</v>
      </c>
      <c r="Y12" s="114"/>
      <c r="Z12" s="114"/>
      <c r="AA12" s="121">
        <v>3.0</v>
      </c>
      <c r="AB12" s="42">
        <f t="shared" si="6"/>
        <v>1536640</v>
      </c>
      <c r="AC12" s="114"/>
      <c r="AD12" s="114"/>
      <c r="AE12" s="121">
        <v>3.0</v>
      </c>
      <c r="AF12" s="42">
        <f t="shared" si="7"/>
        <v>3430000</v>
      </c>
      <c r="AG12" s="114"/>
    </row>
    <row r="13">
      <c r="A13" s="114"/>
      <c r="B13" s="114"/>
      <c r="C13" s="114"/>
      <c r="D13" s="114"/>
      <c r="E13" s="114"/>
      <c r="F13" s="114"/>
      <c r="G13" s="121">
        <v>4.0</v>
      </c>
      <c r="H13" s="42">
        <f t="shared" si="1"/>
        <v>10000</v>
      </c>
      <c r="I13" s="114"/>
      <c r="J13" s="114"/>
      <c r="K13" s="121">
        <v>4.0</v>
      </c>
      <c r="L13" s="42">
        <f t="shared" si="2"/>
        <v>81000</v>
      </c>
      <c r="M13" s="114"/>
      <c r="N13" s="114"/>
      <c r="O13" s="121">
        <v>4.0</v>
      </c>
      <c r="P13" s="42">
        <f t="shared" si="3"/>
        <v>2560000</v>
      </c>
      <c r="Q13" s="114"/>
      <c r="R13" s="114"/>
      <c r="S13" s="121">
        <v>4.0</v>
      </c>
      <c r="T13" s="42">
        <f t="shared" si="4"/>
        <v>524880</v>
      </c>
      <c r="U13" s="114"/>
      <c r="V13" s="114"/>
      <c r="W13" s="121">
        <v>4.0</v>
      </c>
      <c r="X13" s="42">
        <f t="shared" si="5"/>
        <v>1405536</v>
      </c>
      <c r="Y13" s="114"/>
      <c r="Z13" s="114"/>
      <c r="AA13" s="121">
        <v>4.0</v>
      </c>
      <c r="AB13" s="42">
        <f t="shared" si="6"/>
        <v>4302592</v>
      </c>
      <c r="AC13" s="114"/>
      <c r="AD13" s="114"/>
      <c r="AE13" s="121">
        <v>4.0</v>
      </c>
      <c r="AF13" s="42">
        <f t="shared" si="7"/>
        <v>12005000</v>
      </c>
      <c r="AG13" s="114"/>
    </row>
    <row r="14">
      <c r="A14" s="114"/>
      <c r="B14" s="114"/>
      <c r="C14" s="114"/>
      <c r="D14" s="114"/>
      <c r="E14" s="114"/>
      <c r="F14" s="114"/>
      <c r="G14" s="121">
        <v>5.0</v>
      </c>
      <c r="H14" s="42">
        <f t="shared" si="1"/>
        <v>100000</v>
      </c>
      <c r="I14" s="114"/>
      <c r="J14" s="114"/>
      <c r="K14" s="121">
        <v>5.0</v>
      </c>
      <c r="L14" s="42">
        <f t="shared" si="2"/>
        <v>243000</v>
      </c>
      <c r="M14" s="114"/>
      <c r="N14" s="114"/>
      <c r="O14" s="121">
        <v>5.0</v>
      </c>
      <c r="P14" s="42">
        <f t="shared" si="3"/>
        <v>10240000</v>
      </c>
      <c r="Q14" s="114"/>
      <c r="R14" s="114"/>
      <c r="S14" s="121">
        <v>5.0</v>
      </c>
      <c r="T14" s="42">
        <f t="shared" si="4"/>
        <v>944784</v>
      </c>
      <c r="U14" s="114"/>
      <c r="V14" s="114"/>
      <c r="W14" s="121">
        <v>5.0</v>
      </c>
      <c r="X14" s="42">
        <f t="shared" si="5"/>
        <v>3092179.2</v>
      </c>
      <c r="Y14" s="114"/>
      <c r="Z14" s="114"/>
      <c r="AA14" s="121">
        <v>5.0</v>
      </c>
      <c r="AB14" s="42">
        <f t="shared" si="6"/>
        <v>12047257.6</v>
      </c>
      <c r="AC14" s="114"/>
      <c r="AD14" s="114"/>
      <c r="AE14" s="121">
        <v>5.0</v>
      </c>
      <c r="AF14" s="42">
        <f t="shared" si="7"/>
        <v>42017500</v>
      </c>
      <c r="AG14" s="114"/>
    </row>
    <row r="15">
      <c r="A15" s="114"/>
      <c r="B15" s="114"/>
      <c r="C15" s="114"/>
      <c r="D15" s="114"/>
      <c r="E15" s="114"/>
      <c r="F15" s="114"/>
      <c r="G15" s="121">
        <v>6.0</v>
      </c>
      <c r="H15" s="42">
        <f t="shared" si="1"/>
        <v>1000000</v>
      </c>
      <c r="I15" s="114"/>
      <c r="J15" s="114"/>
      <c r="K15" s="121">
        <v>6.0</v>
      </c>
      <c r="L15" s="42">
        <f t="shared" si="2"/>
        <v>729000</v>
      </c>
      <c r="M15" s="114"/>
      <c r="N15" s="114"/>
      <c r="O15" s="121">
        <v>6.0</v>
      </c>
      <c r="P15" s="42">
        <f t="shared" si="3"/>
        <v>40960000</v>
      </c>
      <c r="Q15" s="114"/>
      <c r="R15" s="114"/>
      <c r="S15" s="121">
        <v>6.0</v>
      </c>
      <c r="T15" s="42">
        <f t="shared" si="4"/>
        <v>1700611.2</v>
      </c>
      <c r="U15" s="114"/>
      <c r="V15" s="114"/>
      <c r="W15" s="121">
        <v>6.0</v>
      </c>
      <c r="X15" s="42">
        <f t="shared" si="5"/>
        <v>6802794.24</v>
      </c>
      <c r="Y15" s="114"/>
      <c r="Z15" s="114"/>
      <c r="AA15" s="121">
        <v>6.0</v>
      </c>
      <c r="AB15" s="42">
        <f t="shared" si="6"/>
        <v>33732321.28</v>
      </c>
      <c r="AC15" s="114"/>
      <c r="AD15" s="114"/>
      <c r="AE15" s="121">
        <v>6.0</v>
      </c>
      <c r="AF15" s="42">
        <f t="shared" si="7"/>
        <v>147061250</v>
      </c>
      <c r="AG15" s="114"/>
    </row>
    <row r="16">
      <c r="A16" s="114"/>
      <c r="B16" s="114"/>
      <c r="C16" s="114"/>
      <c r="D16" s="114"/>
      <c r="E16" s="114"/>
      <c r="F16" s="114"/>
      <c r="G16" s="121">
        <v>7.0</v>
      </c>
      <c r="H16" s="42">
        <f t="shared" si="1"/>
        <v>10000000</v>
      </c>
      <c r="I16" s="114"/>
      <c r="J16" s="114"/>
      <c r="K16" s="121">
        <v>7.0</v>
      </c>
      <c r="L16" s="42">
        <f t="shared" si="2"/>
        <v>2187000</v>
      </c>
      <c r="M16" s="114"/>
      <c r="N16" s="114"/>
      <c r="O16" s="121">
        <v>7.0</v>
      </c>
      <c r="P16" s="42">
        <f t="shared" si="3"/>
        <v>163840000</v>
      </c>
      <c r="Q16" s="114"/>
      <c r="R16" s="114"/>
      <c r="S16" s="121">
        <v>7.0</v>
      </c>
      <c r="T16" s="42">
        <f t="shared" si="4"/>
        <v>3061100.16</v>
      </c>
      <c r="U16" s="114"/>
      <c r="V16" s="114"/>
      <c r="W16" s="121">
        <v>7.0</v>
      </c>
      <c r="X16" s="42">
        <f t="shared" si="5"/>
        <v>14966147.33</v>
      </c>
      <c r="Y16" s="114"/>
      <c r="Z16" s="114"/>
      <c r="AA16" s="121">
        <v>7.0</v>
      </c>
      <c r="AB16" s="42">
        <f t="shared" si="6"/>
        <v>94450499.58</v>
      </c>
      <c r="AC16" s="114"/>
      <c r="AD16" s="114"/>
      <c r="AE16" s="121">
        <v>7.0</v>
      </c>
      <c r="AF16" s="42">
        <f t="shared" si="7"/>
        <v>514714375</v>
      </c>
      <c r="AG16" s="114"/>
    </row>
    <row r="17">
      <c r="A17" s="114"/>
      <c r="B17" s="114"/>
      <c r="C17" s="114"/>
      <c r="D17" s="114"/>
      <c r="E17" s="114"/>
      <c r="F17" s="114"/>
      <c r="G17" s="121">
        <v>8.0</v>
      </c>
      <c r="H17" s="42">
        <f t="shared" si="1"/>
        <v>100000000</v>
      </c>
      <c r="I17" s="114"/>
      <c r="J17" s="114"/>
      <c r="K17" s="121">
        <v>8.0</v>
      </c>
      <c r="L17" s="42">
        <f t="shared" si="2"/>
        <v>6561000</v>
      </c>
      <c r="M17" s="114"/>
      <c r="N17" s="114"/>
      <c r="O17" s="121">
        <v>8.0</v>
      </c>
      <c r="P17" s="42">
        <f t="shared" si="3"/>
        <v>655360000</v>
      </c>
      <c r="Q17" s="114"/>
      <c r="R17" s="114"/>
      <c r="S17" s="121">
        <v>8.0</v>
      </c>
      <c r="T17" s="42">
        <f t="shared" si="4"/>
        <v>550998028.8</v>
      </c>
      <c r="U17" s="114"/>
      <c r="V17" s="114"/>
      <c r="W17" s="121">
        <v>8.0</v>
      </c>
      <c r="X17" s="42">
        <f t="shared" si="5"/>
        <v>3292552412</v>
      </c>
      <c r="Y17" s="114"/>
      <c r="Z17" s="114"/>
      <c r="AA17" s="121">
        <v>8.0</v>
      </c>
      <c r="AB17" s="42">
        <f t="shared" si="6"/>
        <v>26446139884</v>
      </c>
      <c r="AC17" s="114"/>
      <c r="AD17" s="114"/>
      <c r="AE17" s="121">
        <v>8.0</v>
      </c>
      <c r="AF17" s="42">
        <f t="shared" si="7"/>
        <v>180150031250</v>
      </c>
      <c r="AG17" s="114"/>
    </row>
    <row r="18">
      <c r="A18" s="114"/>
      <c r="B18" s="114"/>
      <c r="C18" s="114"/>
      <c r="D18" s="114"/>
      <c r="E18" s="114"/>
      <c r="F18" s="114"/>
      <c r="G18" s="121">
        <v>9.0</v>
      </c>
      <c r="H18" s="42">
        <f t="shared" si="1"/>
        <v>1000000000</v>
      </c>
      <c r="I18" s="114"/>
      <c r="J18" s="114"/>
      <c r="K18" s="121">
        <v>9.0</v>
      </c>
      <c r="L18" s="42">
        <f t="shared" si="2"/>
        <v>19683000</v>
      </c>
      <c r="M18" s="114"/>
      <c r="N18" s="114"/>
      <c r="O18" s="121">
        <v>9.0</v>
      </c>
      <c r="P18" s="42">
        <f t="shared" si="3"/>
        <v>2621440000</v>
      </c>
      <c r="Q18" s="114"/>
      <c r="R18" s="114"/>
      <c r="S18" s="121">
        <v>9.0</v>
      </c>
      <c r="T18" s="42">
        <f t="shared" si="4"/>
        <v>99179645184</v>
      </c>
      <c r="U18" s="114"/>
      <c r="V18" s="114"/>
      <c r="W18" s="121">
        <v>9.0</v>
      </c>
      <c r="X18" s="42">
        <f t="shared" si="5"/>
        <v>724361530675</v>
      </c>
      <c r="Y18" s="114"/>
      <c r="Z18" s="114"/>
      <c r="AA18" s="121">
        <v>9.0</v>
      </c>
      <c r="AB18" s="42">
        <f t="shared" si="6"/>
        <v>7404919167386</v>
      </c>
      <c r="AC18" s="114"/>
      <c r="AD18" s="114"/>
      <c r="AE18" s="121">
        <v>9.0</v>
      </c>
      <c r="AF18" s="42">
        <f t="shared" si="7"/>
        <v>63052510937500</v>
      </c>
      <c r="AG18" s="114"/>
    </row>
    <row r="19">
      <c r="A19" s="114"/>
      <c r="B19" s="114"/>
      <c r="C19" s="114"/>
      <c r="D19" s="114"/>
      <c r="E19" s="114"/>
      <c r="F19" s="114"/>
      <c r="G19" s="121">
        <v>10.0</v>
      </c>
      <c r="H19" s="42">
        <f t="shared" si="1"/>
        <v>10000000000</v>
      </c>
      <c r="I19" s="114"/>
      <c r="J19" s="114"/>
      <c r="K19" s="121">
        <v>10.0</v>
      </c>
      <c r="L19" s="42">
        <f t="shared" si="2"/>
        <v>59049000</v>
      </c>
      <c r="M19" s="114"/>
      <c r="N19" s="114"/>
      <c r="O19" s="121">
        <v>10.0</v>
      </c>
      <c r="P19" s="42">
        <f t="shared" si="3"/>
        <v>10485760000</v>
      </c>
      <c r="Q19" s="114"/>
      <c r="R19" s="114"/>
      <c r="S19" s="121">
        <v>10.0</v>
      </c>
      <c r="T19" s="42">
        <f t="shared" si="4"/>
        <v>17852336133120</v>
      </c>
      <c r="U19" s="114"/>
      <c r="V19" s="114"/>
      <c r="W19" s="121">
        <v>10.0</v>
      </c>
      <c r="X19" s="42">
        <f t="shared" si="5"/>
        <v>159359536748544</v>
      </c>
      <c r="Y19" s="114"/>
      <c r="Z19" s="114"/>
      <c r="AA19" s="121">
        <v>10.0</v>
      </c>
      <c r="AB19" s="42">
        <f t="shared" si="6"/>
        <v>2.07338E+15</v>
      </c>
      <c r="AC19" s="114"/>
      <c r="AD19" s="114"/>
      <c r="AE19" s="121">
        <v>10.0</v>
      </c>
      <c r="AF19" s="42">
        <f t="shared" si="7"/>
        <v>2.20684E+16</v>
      </c>
      <c r="AG19" s="114"/>
    </row>
    <row r="20">
      <c r="A20" s="114"/>
      <c r="B20" s="114"/>
      <c r="C20" s="114"/>
      <c r="D20" s="114"/>
      <c r="E20" s="114"/>
      <c r="F20" s="114"/>
      <c r="G20" s="121">
        <v>11.0</v>
      </c>
      <c r="H20" s="42">
        <f t="shared" si="1"/>
        <v>100000000000</v>
      </c>
      <c r="I20" s="114"/>
      <c r="J20" s="114"/>
      <c r="K20" s="121">
        <v>11.0</v>
      </c>
      <c r="L20" s="42">
        <f t="shared" si="2"/>
        <v>177147000</v>
      </c>
      <c r="M20" s="114"/>
      <c r="N20" s="114"/>
      <c r="O20" s="121">
        <v>11.0</v>
      </c>
      <c r="P20" s="42">
        <f t="shared" si="3"/>
        <v>41943040000</v>
      </c>
      <c r="Q20" s="114"/>
      <c r="R20" s="114"/>
      <c r="S20" s="121">
        <v>11.0</v>
      </c>
      <c r="T20" s="42">
        <f t="shared" si="4"/>
        <v>3.21342E+15</v>
      </c>
      <c r="U20" s="114"/>
      <c r="V20" s="114"/>
      <c r="W20" s="121">
        <v>11.0</v>
      </c>
      <c r="X20" s="42">
        <f t="shared" si="5"/>
        <v>3.50591E+16</v>
      </c>
      <c r="Y20" s="114"/>
      <c r="Z20" s="114"/>
      <c r="AA20" s="121">
        <v>11.0</v>
      </c>
      <c r="AB20" s="42">
        <f t="shared" si="6"/>
        <v>5.80546E+17</v>
      </c>
      <c r="AC20" s="114"/>
      <c r="AD20" s="114"/>
      <c r="AE20" s="121">
        <v>11.0</v>
      </c>
      <c r="AF20" s="42">
        <f t="shared" si="7"/>
        <v>7.72393E+18</v>
      </c>
      <c r="AG20" s="114"/>
    </row>
    <row r="21">
      <c r="A21" s="114"/>
      <c r="B21" s="114"/>
      <c r="C21" s="114"/>
      <c r="D21" s="114"/>
      <c r="E21" s="114"/>
      <c r="F21" s="114"/>
      <c r="G21" s="121">
        <v>12.0</v>
      </c>
      <c r="H21" s="42">
        <f t="shared" si="1"/>
        <v>1000000000000</v>
      </c>
      <c r="I21" s="114"/>
      <c r="J21" s="114"/>
      <c r="K21" s="121">
        <v>12.0</v>
      </c>
      <c r="L21" s="42">
        <f t="shared" si="2"/>
        <v>531441000</v>
      </c>
      <c r="M21" s="114"/>
      <c r="N21" s="114"/>
      <c r="O21" s="121">
        <v>12.0</v>
      </c>
      <c r="P21" s="42">
        <f t="shared" si="3"/>
        <v>167772160000</v>
      </c>
      <c r="Q21" s="114"/>
      <c r="R21" s="114"/>
      <c r="S21" s="121">
        <v>12.0</v>
      </c>
      <c r="T21" s="42">
        <f t="shared" si="4"/>
        <v>5.78416E+17</v>
      </c>
      <c r="U21" s="114"/>
      <c r="V21" s="114"/>
      <c r="W21" s="121">
        <v>12.0</v>
      </c>
      <c r="X21" s="42">
        <f t="shared" si="5"/>
        <v>7.713E+18</v>
      </c>
      <c r="Y21" s="114"/>
      <c r="Z21" s="114"/>
      <c r="AA21" s="121">
        <v>12.0</v>
      </c>
      <c r="AB21" s="42">
        <f t="shared" si="6"/>
        <v>1.62553E+20</v>
      </c>
      <c r="AC21" s="114"/>
      <c r="AD21" s="114"/>
      <c r="AE21" s="121">
        <v>12.0</v>
      </c>
      <c r="AF21" s="42">
        <f t="shared" si="7"/>
        <v>2.70338E+21</v>
      </c>
      <c r="AG21" s="114"/>
    </row>
    <row r="22">
      <c r="A22" s="114"/>
      <c r="B22" s="114"/>
      <c r="C22" s="114"/>
      <c r="D22" s="114"/>
      <c r="E22" s="114"/>
      <c r="F22" s="114"/>
      <c r="G22" s="121">
        <v>13.0</v>
      </c>
      <c r="H22" s="42">
        <f t="shared" si="1"/>
        <v>10000000000000</v>
      </c>
      <c r="I22" s="114"/>
      <c r="J22" s="114"/>
      <c r="K22" s="121">
        <v>13.0</v>
      </c>
      <c r="L22" s="42">
        <f t="shared" si="2"/>
        <v>1594323000</v>
      </c>
      <c r="M22" s="114"/>
      <c r="N22" s="114"/>
      <c r="O22" s="121">
        <v>13.0</v>
      </c>
      <c r="P22" s="42">
        <f t="shared" si="3"/>
        <v>671088640000</v>
      </c>
      <c r="Q22" s="114"/>
      <c r="R22" s="114"/>
      <c r="S22" s="121">
        <v>13.0</v>
      </c>
      <c r="T22" s="42">
        <f t="shared" si="4"/>
        <v>1.04115E+20</v>
      </c>
      <c r="U22" s="114"/>
      <c r="V22" s="114"/>
      <c r="W22" s="121">
        <v>13.0</v>
      </c>
      <c r="X22" s="42">
        <f t="shared" si="5"/>
        <v>1.69686E+21</v>
      </c>
      <c r="Y22" s="114"/>
      <c r="Z22" s="114"/>
      <c r="AA22" s="121">
        <v>13.0</v>
      </c>
      <c r="AB22" s="42">
        <f t="shared" si="6"/>
        <v>4.55148E+22</v>
      </c>
      <c r="AC22" s="114"/>
      <c r="AD22" s="114"/>
      <c r="AE22" s="121">
        <v>13.0</v>
      </c>
      <c r="AF22" s="42">
        <f t="shared" si="7"/>
        <v>9.46182E+23</v>
      </c>
      <c r="AG22" s="114"/>
    </row>
    <row r="23">
      <c r="A23" s="114"/>
      <c r="B23" s="114"/>
      <c r="C23" s="114"/>
      <c r="D23" s="114"/>
      <c r="E23" s="114"/>
      <c r="F23" s="114"/>
      <c r="G23" s="121">
        <v>14.0</v>
      </c>
      <c r="H23" s="42">
        <f t="shared" si="1"/>
        <v>100000000000000</v>
      </c>
      <c r="I23" s="114"/>
      <c r="J23" s="114"/>
      <c r="K23" s="121">
        <v>14.0</v>
      </c>
      <c r="L23" s="42">
        <f t="shared" si="2"/>
        <v>4782969000</v>
      </c>
      <c r="M23" s="114"/>
      <c r="N23" s="114"/>
      <c r="O23" s="121">
        <v>14.0</v>
      </c>
      <c r="P23" s="42">
        <f t="shared" si="3"/>
        <v>2684354560000</v>
      </c>
      <c r="Q23" s="114"/>
      <c r="R23" s="114"/>
      <c r="S23" s="121">
        <v>14.0</v>
      </c>
      <c r="T23" s="42">
        <f t="shared" si="4"/>
        <v>1.87407E+22</v>
      </c>
      <c r="U23" s="114"/>
      <c r="V23" s="114"/>
      <c r="W23" s="121">
        <v>14.0</v>
      </c>
      <c r="X23" s="42">
        <f t="shared" si="5"/>
        <v>3.73309E+23</v>
      </c>
      <c r="Y23" s="114"/>
      <c r="Z23" s="114"/>
      <c r="AA23" s="121">
        <v>14.0</v>
      </c>
      <c r="AB23" s="42">
        <f t="shared" si="6"/>
        <v>1.27441E+25</v>
      </c>
      <c r="AC23" s="114"/>
      <c r="AD23" s="114"/>
      <c r="AE23" s="121">
        <v>14.0</v>
      </c>
      <c r="AF23" s="42">
        <f t="shared" si="7"/>
        <v>3.31164E+26</v>
      </c>
      <c r="AG23" s="114"/>
    </row>
    <row r="24">
      <c r="A24" s="114"/>
      <c r="B24" s="114"/>
      <c r="C24" s="114"/>
      <c r="D24" s="114"/>
      <c r="E24" s="114"/>
      <c r="F24" s="114"/>
      <c r="G24" s="121">
        <v>15.0</v>
      </c>
      <c r="H24" s="42">
        <f t="shared" si="1"/>
        <v>1E+15</v>
      </c>
      <c r="I24" s="114"/>
      <c r="J24" s="114"/>
      <c r="K24" s="121">
        <v>15.0</v>
      </c>
      <c r="L24" s="42">
        <f t="shared" si="2"/>
        <v>14348907000</v>
      </c>
      <c r="M24" s="114"/>
      <c r="N24" s="114"/>
      <c r="O24" s="121">
        <v>15.0</v>
      </c>
      <c r="P24" s="42">
        <f t="shared" si="3"/>
        <v>10737418240000</v>
      </c>
      <c r="Q24" s="114"/>
      <c r="R24" s="114"/>
      <c r="S24" s="121">
        <v>15.0</v>
      </c>
      <c r="T24" s="121" t="s">
        <v>162</v>
      </c>
      <c r="U24" s="114"/>
      <c r="V24" s="114"/>
      <c r="W24" s="121">
        <v>15.0</v>
      </c>
      <c r="X24" s="121" t="s">
        <v>162</v>
      </c>
      <c r="Y24" s="114"/>
      <c r="Z24" s="114"/>
      <c r="AA24" s="121">
        <v>15.0</v>
      </c>
      <c r="AB24" s="121" t="s">
        <v>162</v>
      </c>
      <c r="AC24" s="114"/>
      <c r="AD24" s="114"/>
      <c r="AE24" s="121">
        <v>15.0</v>
      </c>
      <c r="AF24" s="121" t="s">
        <v>162</v>
      </c>
      <c r="AG24" s="114"/>
    </row>
    <row r="25">
      <c r="A25" s="114"/>
      <c r="B25" s="114"/>
      <c r="C25" s="114"/>
      <c r="D25" s="114"/>
      <c r="E25" s="114"/>
      <c r="F25" s="114"/>
      <c r="G25" s="121">
        <v>16.0</v>
      </c>
      <c r="H25" s="42">
        <f t="shared" si="1"/>
        <v>1E+16</v>
      </c>
      <c r="I25" s="114"/>
      <c r="J25" s="114"/>
      <c r="K25" s="121">
        <v>16.0</v>
      </c>
      <c r="L25" s="42">
        <f t="shared" si="2"/>
        <v>43046721000</v>
      </c>
      <c r="M25" s="114"/>
      <c r="N25" s="114"/>
      <c r="O25" s="121">
        <v>16.0</v>
      </c>
      <c r="P25" s="42">
        <f t="shared" si="3"/>
        <v>42949672960000</v>
      </c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</row>
    <row r="26">
      <c r="A26" s="114"/>
      <c r="B26" s="114"/>
      <c r="C26" s="114"/>
      <c r="D26" s="114"/>
      <c r="E26" s="114"/>
      <c r="F26" s="114"/>
      <c r="G26" s="121">
        <v>17.0</v>
      </c>
      <c r="H26" s="42">
        <f t="shared" si="1"/>
        <v>1E+17</v>
      </c>
      <c r="I26" s="114"/>
      <c r="J26" s="114"/>
      <c r="K26" s="121">
        <v>17.0</v>
      </c>
      <c r="L26" s="42">
        <f t="shared" si="2"/>
        <v>129140163000</v>
      </c>
      <c r="M26" s="114"/>
      <c r="N26" s="114"/>
      <c r="O26" s="121">
        <v>17.0</v>
      </c>
      <c r="P26" s="42">
        <f t="shared" si="3"/>
        <v>171798691840000</v>
      </c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>
      <c r="A27" s="114"/>
      <c r="B27" s="114"/>
      <c r="C27" s="114"/>
      <c r="D27" s="114"/>
      <c r="E27" s="114"/>
      <c r="F27" s="114"/>
      <c r="G27" s="121">
        <v>18.0</v>
      </c>
      <c r="H27" s="42">
        <f t="shared" si="1"/>
        <v>1E+18</v>
      </c>
      <c r="I27" s="114"/>
      <c r="J27" s="114"/>
      <c r="K27" s="121">
        <v>18.0</v>
      </c>
      <c r="L27" s="42">
        <f t="shared" si="2"/>
        <v>387420489000</v>
      </c>
      <c r="M27" s="114"/>
      <c r="N27" s="114"/>
      <c r="O27" s="121">
        <v>18.0</v>
      </c>
      <c r="P27" s="42">
        <f t="shared" si="3"/>
        <v>687194767360000</v>
      </c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</row>
    <row r="28">
      <c r="A28" s="114"/>
      <c r="B28" s="114"/>
      <c r="C28" s="114"/>
      <c r="D28" s="114"/>
      <c r="E28" s="114"/>
      <c r="F28" s="114"/>
      <c r="G28" s="121">
        <v>19.0</v>
      </c>
      <c r="H28" s="42">
        <f t="shared" si="1"/>
        <v>1E+19</v>
      </c>
      <c r="I28" s="114"/>
      <c r="J28" s="114"/>
      <c r="K28" s="121">
        <v>19.0</v>
      </c>
      <c r="L28" s="42">
        <f t="shared" si="2"/>
        <v>1162261467000</v>
      </c>
      <c r="M28" s="114"/>
      <c r="N28" s="114"/>
      <c r="O28" s="121">
        <v>19.0</v>
      </c>
      <c r="P28" s="42">
        <f t="shared" si="3"/>
        <v>2.74878E+15</v>
      </c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</row>
    <row r="29">
      <c r="A29" s="114"/>
      <c r="B29" s="114"/>
      <c r="C29" s="114"/>
      <c r="D29" s="114"/>
      <c r="E29" s="114"/>
      <c r="F29" s="114"/>
      <c r="G29" s="121">
        <v>20.0</v>
      </c>
      <c r="H29" s="42">
        <f t="shared" si="1"/>
        <v>1E+20</v>
      </c>
      <c r="I29" s="114"/>
      <c r="J29" s="114"/>
      <c r="K29" s="121">
        <v>20.0</v>
      </c>
      <c r="L29" s="121" t="s">
        <v>162</v>
      </c>
      <c r="M29" s="114"/>
      <c r="N29" s="114"/>
      <c r="O29" s="121">
        <v>20.0</v>
      </c>
      <c r="P29" s="121" t="s">
        <v>162</v>
      </c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</row>
    <row r="30">
      <c r="A30" s="114"/>
      <c r="B30" s="114"/>
      <c r="C30" s="114"/>
      <c r="D30" s="114"/>
      <c r="E30" s="114"/>
      <c r="F30" s="114"/>
      <c r="G30" s="121">
        <v>21.0</v>
      </c>
      <c r="H30" s="42">
        <f t="shared" si="1"/>
        <v>1E+21</v>
      </c>
      <c r="I30" s="114"/>
      <c r="J30" s="114"/>
      <c r="K30" s="121"/>
      <c r="L30" s="114"/>
      <c r="M30" s="114"/>
      <c r="N30" s="114"/>
      <c r="O30" s="12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</row>
    <row r="31">
      <c r="A31" s="114"/>
      <c r="B31" s="114"/>
      <c r="C31" s="114"/>
      <c r="D31" s="114"/>
      <c r="E31" s="114"/>
      <c r="F31" s="114"/>
      <c r="G31" s="121">
        <v>22.0</v>
      </c>
      <c r="H31" s="42">
        <f t="shared" si="1"/>
        <v>1E+22</v>
      </c>
      <c r="I31" s="114"/>
      <c r="J31" s="114"/>
      <c r="K31" s="121"/>
      <c r="L31" s="114"/>
      <c r="M31" s="114"/>
      <c r="N31" s="114"/>
      <c r="O31" s="12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</row>
    <row r="32">
      <c r="A32" s="114"/>
      <c r="B32" s="114"/>
      <c r="C32" s="114"/>
      <c r="D32" s="114"/>
      <c r="E32" s="114"/>
      <c r="F32" s="114"/>
      <c r="G32" s="121">
        <v>23.0</v>
      </c>
      <c r="H32" s="42">
        <f t="shared" si="1"/>
        <v>1E+23</v>
      </c>
      <c r="I32" s="114"/>
      <c r="J32" s="114"/>
      <c r="K32" s="121"/>
      <c r="L32" s="114"/>
      <c r="M32" s="114"/>
      <c r="N32" s="114"/>
      <c r="O32" s="12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</row>
    <row r="33">
      <c r="A33" s="114"/>
      <c r="B33" s="114"/>
      <c r="C33" s="114"/>
      <c r="D33" s="114"/>
      <c r="E33" s="114"/>
      <c r="F33" s="114"/>
      <c r="G33" s="121">
        <v>24.0</v>
      </c>
      <c r="H33" s="42">
        <f t="shared" si="1"/>
        <v>1E+24</v>
      </c>
      <c r="I33" s="114"/>
      <c r="J33" s="114"/>
      <c r="K33" s="121"/>
      <c r="L33" s="114"/>
      <c r="M33" s="114"/>
      <c r="N33" s="114"/>
      <c r="O33" s="12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</row>
    <row r="34">
      <c r="A34" s="114"/>
      <c r="B34" s="114"/>
      <c r="C34" s="114"/>
      <c r="D34" s="114"/>
      <c r="E34" s="114"/>
      <c r="F34" s="114"/>
      <c r="G34" s="121">
        <v>25.0</v>
      </c>
      <c r="H34" s="42">
        <f t="shared" si="1"/>
        <v>1E+25</v>
      </c>
      <c r="I34" s="114"/>
      <c r="J34" s="114"/>
      <c r="K34" s="121"/>
      <c r="L34" s="114"/>
      <c r="M34" s="114"/>
      <c r="N34" s="114"/>
      <c r="O34" s="12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</row>
    <row r="35">
      <c r="A35" s="114"/>
      <c r="B35" s="114"/>
      <c r="C35" s="114"/>
      <c r="D35" s="114"/>
      <c r="E35" s="114"/>
      <c r="F35" s="114"/>
      <c r="G35" s="121">
        <v>26.0</v>
      </c>
      <c r="H35" s="42">
        <f t="shared" si="1"/>
        <v>1E+26</v>
      </c>
      <c r="I35" s="114"/>
      <c r="J35" s="114"/>
      <c r="K35" s="121"/>
      <c r="L35" s="114"/>
      <c r="M35" s="114"/>
      <c r="N35" s="114"/>
      <c r="O35" s="12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>
      <c r="A36" s="114"/>
      <c r="B36" s="114"/>
      <c r="C36" s="114"/>
      <c r="D36" s="114"/>
      <c r="E36" s="114"/>
      <c r="F36" s="114"/>
      <c r="G36" s="121">
        <v>27.0</v>
      </c>
      <c r="H36" s="42">
        <f t="shared" si="1"/>
        <v>1E+27</v>
      </c>
      <c r="I36" s="114"/>
      <c r="J36" s="114"/>
      <c r="K36" s="121"/>
      <c r="L36" s="114"/>
      <c r="M36" s="114"/>
      <c r="N36" s="114"/>
      <c r="O36" s="121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</row>
    <row r="37">
      <c r="A37" s="114"/>
      <c r="B37" s="114"/>
      <c r="C37" s="114"/>
      <c r="D37" s="114"/>
      <c r="E37" s="114"/>
      <c r="F37" s="114"/>
      <c r="G37" s="121">
        <v>28.0</v>
      </c>
      <c r="H37" s="42">
        <f t="shared" si="1"/>
        <v>1E+28</v>
      </c>
      <c r="I37" s="114"/>
      <c r="J37" s="114"/>
      <c r="K37" s="121"/>
      <c r="L37" s="114"/>
      <c r="M37" s="114"/>
      <c r="N37" s="114"/>
      <c r="O37" s="121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>
      <c r="A38" s="114"/>
      <c r="B38" s="114"/>
      <c r="C38" s="114"/>
      <c r="D38" s="114"/>
      <c r="E38" s="114"/>
      <c r="F38" s="114"/>
      <c r="G38" s="121">
        <v>29.0</v>
      </c>
      <c r="H38" s="42">
        <f t="shared" si="1"/>
        <v>1E+29</v>
      </c>
      <c r="I38" s="114"/>
      <c r="J38" s="114"/>
      <c r="K38" s="121"/>
      <c r="L38" s="114"/>
      <c r="M38" s="114"/>
      <c r="N38" s="114"/>
      <c r="O38" s="121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</row>
    <row r="39">
      <c r="A39" s="114"/>
      <c r="B39" s="114"/>
      <c r="C39" s="114"/>
      <c r="D39" s="114"/>
      <c r="E39" s="114"/>
      <c r="F39" s="114"/>
      <c r="G39" s="121">
        <v>30.0</v>
      </c>
      <c r="H39" s="42">
        <f t="shared" si="1"/>
        <v>1E+30</v>
      </c>
      <c r="I39" s="114"/>
      <c r="J39" s="114"/>
      <c r="K39" s="121"/>
      <c r="L39" s="114"/>
      <c r="M39" s="114"/>
      <c r="N39" s="114"/>
      <c r="O39" s="121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</row>
    <row r="40">
      <c r="A40" s="114"/>
      <c r="B40" s="114"/>
      <c r="C40" s="114"/>
      <c r="D40" s="114"/>
      <c r="E40" s="114"/>
      <c r="F40" s="114"/>
      <c r="G40" s="121">
        <v>31.0</v>
      </c>
      <c r="H40" s="42">
        <f t="shared" si="1"/>
        <v>1E+31</v>
      </c>
      <c r="I40" s="114"/>
      <c r="J40" s="114"/>
      <c r="K40" s="12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</row>
    <row r="41">
      <c r="A41" s="114"/>
      <c r="B41" s="114"/>
      <c r="C41" s="114"/>
      <c r="D41" s="114"/>
      <c r="E41" s="114"/>
      <c r="F41" s="114"/>
      <c r="G41" s="121">
        <v>32.0</v>
      </c>
      <c r="H41" s="42">
        <f t="shared" si="1"/>
        <v>1E+32</v>
      </c>
      <c r="I41" s="114"/>
      <c r="J41" s="114"/>
      <c r="K41" s="121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</row>
    <row r="42">
      <c r="A42" s="114"/>
      <c r="B42" s="114"/>
      <c r="C42" s="114"/>
      <c r="D42" s="114"/>
      <c r="E42" s="114"/>
      <c r="F42" s="114"/>
      <c r="G42" s="121">
        <v>33.0</v>
      </c>
      <c r="H42" s="42">
        <f t="shared" si="1"/>
        <v>1E+33</v>
      </c>
      <c r="I42" s="114"/>
      <c r="J42" s="114"/>
      <c r="K42" s="121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</row>
    <row r="43">
      <c r="A43" s="114"/>
      <c r="B43" s="114"/>
      <c r="C43" s="114"/>
      <c r="D43" s="114"/>
      <c r="E43" s="114"/>
      <c r="F43" s="114"/>
      <c r="G43" s="121">
        <v>34.0</v>
      </c>
      <c r="H43" s="42">
        <f t="shared" si="1"/>
        <v>1E+34</v>
      </c>
      <c r="I43" s="114"/>
      <c r="J43" s="114"/>
      <c r="K43" s="121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</row>
    <row r="44">
      <c r="A44" s="114"/>
      <c r="B44" s="114"/>
      <c r="C44" s="114"/>
      <c r="D44" s="114"/>
      <c r="E44" s="114"/>
      <c r="F44" s="114"/>
      <c r="G44" s="121">
        <v>35.0</v>
      </c>
      <c r="H44" s="42">
        <f t="shared" si="1"/>
        <v>1E+35</v>
      </c>
      <c r="I44" s="114"/>
      <c r="J44" s="114"/>
      <c r="K44" s="121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</row>
    <row r="45">
      <c r="A45" s="114"/>
      <c r="B45" s="114"/>
      <c r="C45" s="114"/>
      <c r="D45" s="114"/>
      <c r="E45" s="114"/>
      <c r="F45" s="114"/>
      <c r="G45" s="121">
        <v>36.0</v>
      </c>
      <c r="H45" s="42">
        <f t="shared" si="1"/>
        <v>1E+36</v>
      </c>
      <c r="I45" s="114"/>
      <c r="J45" s="114"/>
      <c r="K45" s="121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>
      <c r="A46" s="114"/>
      <c r="B46" s="114"/>
      <c r="C46" s="114"/>
      <c r="D46" s="114"/>
      <c r="E46" s="114"/>
      <c r="F46" s="114"/>
      <c r="G46" s="121">
        <v>37.0</v>
      </c>
      <c r="H46" s="42">
        <f t="shared" si="1"/>
        <v>1E+37</v>
      </c>
      <c r="I46" s="114"/>
      <c r="J46" s="114"/>
      <c r="K46" s="121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</row>
    <row r="47">
      <c r="A47" s="114"/>
      <c r="B47" s="114"/>
      <c r="C47" s="114"/>
      <c r="D47" s="114"/>
      <c r="E47" s="114"/>
      <c r="F47" s="114"/>
      <c r="G47" s="121">
        <v>38.0</v>
      </c>
      <c r="H47" s="42">
        <f t="shared" si="1"/>
        <v>1E+38</v>
      </c>
      <c r="I47" s="114"/>
      <c r="J47" s="114"/>
      <c r="K47" s="121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</row>
    <row r="48">
      <c r="A48" s="114"/>
      <c r="B48" s="114"/>
      <c r="C48" s="114"/>
      <c r="D48" s="114"/>
      <c r="E48" s="114"/>
      <c r="F48" s="114"/>
      <c r="G48" s="121">
        <v>39.0</v>
      </c>
      <c r="H48" s="42">
        <f t="shared" si="1"/>
        <v>1E+39</v>
      </c>
      <c r="I48" s="114"/>
      <c r="J48" s="114"/>
      <c r="K48" s="121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</row>
    <row r="49">
      <c r="A49" s="114"/>
      <c r="B49" s="114"/>
      <c r="C49" s="114"/>
      <c r="D49" s="114"/>
      <c r="E49" s="114"/>
      <c r="F49" s="114"/>
      <c r="G49" s="121">
        <v>40.0</v>
      </c>
      <c r="H49" s="42">
        <f t="shared" si="1"/>
        <v>1E+40</v>
      </c>
      <c r="I49" s="114"/>
      <c r="J49" s="114"/>
      <c r="K49" s="121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>
      <c r="A50" s="114"/>
      <c r="B50" s="114"/>
      <c r="C50" s="114"/>
      <c r="D50" s="114"/>
      <c r="E50" s="114"/>
      <c r="F50" s="114"/>
      <c r="G50" s="121">
        <v>41.0</v>
      </c>
      <c r="H50" s="42">
        <f t="shared" si="1"/>
        <v>1E+41</v>
      </c>
      <c r="I50" s="114"/>
      <c r="J50" s="114"/>
      <c r="K50" s="121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</row>
    <row r="51">
      <c r="A51" s="114"/>
      <c r="B51" s="114"/>
      <c r="C51" s="114"/>
      <c r="D51" s="114"/>
      <c r="E51" s="114"/>
      <c r="F51" s="114"/>
      <c r="G51" s="121">
        <v>42.0</v>
      </c>
      <c r="H51" s="42">
        <f t="shared" si="1"/>
        <v>1E+42</v>
      </c>
      <c r="I51" s="114"/>
      <c r="J51" s="114"/>
      <c r="K51" s="121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</row>
    <row r="52">
      <c r="A52" s="114"/>
      <c r="B52" s="114"/>
      <c r="C52" s="114"/>
      <c r="D52" s="114"/>
      <c r="E52" s="114"/>
      <c r="F52" s="114"/>
      <c r="G52" s="121">
        <v>43.0</v>
      </c>
      <c r="H52" s="42">
        <f t="shared" si="1"/>
        <v>1E+43</v>
      </c>
      <c r="I52" s="114"/>
      <c r="J52" s="114"/>
      <c r="K52" s="121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</row>
    <row r="53">
      <c r="A53" s="114"/>
      <c r="B53" s="114"/>
      <c r="C53" s="114"/>
      <c r="D53" s="114"/>
      <c r="E53" s="114"/>
      <c r="F53" s="114"/>
      <c r="G53" s="121">
        <v>44.0</v>
      </c>
      <c r="H53" s="42">
        <f t="shared" si="1"/>
        <v>1E+44</v>
      </c>
      <c r="I53" s="114"/>
      <c r="J53" s="114"/>
      <c r="K53" s="121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</row>
    <row r="54">
      <c r="A54" s="114"/>
      <c r="B54" s="114"/>
      <c r="C54" s="114"/>
      <c r="D54" s="114"/>
      <c r="E54" s="114"/>
      <c r="F54" s="114"/>
      <c r="G54" s="121">
        <v>45.0</v>
      </c>
      <c r="H54" s="42">
        <f t="shared" si="1"/>
        <v>1E+45</v>
      </c>
      <c r="I54" s="114"/>
      <c r="J54" s="114"/>
      <c r="K54" s="121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</row>
    <row r="55">
      <c r="A55" s="114"/>
      <c r="B55" s="114"/>
      <c r="C55" s="114"/>
      <c r="D55" s="114"/>
      <c r="E55" s="114"/>
      <c r="F55" s="114"/>
      <c r="G55" s="121">
        <v>46.0</v>
      </c>
      <c r="H55" s="42">
        <f t="shared" si="1"/>
        <v>1E+46</v>
      </c>
      <c r="I55" s="114"/>
      <c r="J55" s="114"/>
      <c r="K55" s="121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</row>
    <row r="56">
      <c r="A56" s="114"/>
      <c r="B56" s="114"/>
      <c r="C56" s="114"/>
      <c r="D56" s="114"/>
      <c r="E56" s="114"/>
      <c r="F56" s="114"/>
      <c r="G56" s="121">
        <v>47.0</v>
      </c>
      <c r="H56" s="42">
        <f t="shared" si="1"/>
        <v>1E+47</v>
      </c>
      <c r="I56" s="114"/>
      <c r="J56" s="114"/>
      <c r="K56" s="121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</row>
    <row r="57">
      <c r="A57" s="114"/>
      <c r="B57" s="114"/>
      <c r="C57" s="114"/>
      <c r="D57" s="114"/>
      <c r="E57" s="114"/>
      <c r="F57" s="114"/>
      <c r="G57" s="121">
        <v>48.0</v>
      </c>
      <c r="H57" s="42">
        <f t="shared" si="1"/>
        <v>1E+48</v>
      </c>
      <c r="I57" s="114"/>
      <c r="J57" s="114"/>
      <c r="K57" s="121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</row>
    <row r="58">
      <c r="A58" s="114"/>
      <c r="B58" s="114"/>
      <c r="C58" s="114"/>
      <c r="D58" s="114"/>
      <c r="E58" s="114"/>
      <c r="F58" s="114"/>
      <c r="G58" s="121">
        <v>49.0</v>
      </c>
      <c r="H58" s="42">
        <f t="shared" si="1"/>
        <v>1E+49</v>
      </c>
      <c r="I58" s="114"/>
      <c r="J58" s="114"/>
      <c r="K58" s="121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</row>
    <row r="59">
      <c r="A59" s="114"/>
      <c r="B59" s="114"/>
      <c r="C59" s="114"/>
      <c r="D59" s="114"/>
      <c r="E59" s="114"/>
      <c r="F59" s="114"/>
      <c r="G59" s="121">
        <v>50.0</v>
      </c>
      <c r="H59" s="42">
        <f t="shared" si="1"/>
        <v>1E+50</v>
      </c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</row>
    <row r="60">
      <c r="A60" s="114"/>
      <c r="B60" s="114"/>
      <c r="C60" s="114"/>
      <c r="D60" s="114"/>
      <c r="E60" s="114"/>
      <c r="F60" s="114"/>
      <c r="G60" s="121">
        <v>51.0</v>
      </c>
      <c r="H60" s="42">
        <f t="shared" si="1"/>
        <v>1E+51</v>
      </c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</row>
    <row r="61">
      <c r="A61" s="114"/>
      <c r="B61" s="114"/>
      <c r="C61" s="114"/>
      <c r="D61" s="114"/>
      <c r="E61" s="114"/>
      <c r="F61" s="114"/>
      <c r="G61" s="121">
        <v>52.0</v>
      </c>
      <c r="H61" s="42">
        <f t="shared" si="1"/>
        <v>1E+52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>
      <c r="A62" s="114"/>
      <c r="B62" s="114"/>
      <c r="C62" s="114"/>
      <c r="D62" s="114"/>
      <c r="E62" s="114"/>
      <c r="F62" s="114"/>
      <c r="G62" s="121">
        <v>53.0</v>
      </c>
      <c r="H62" s="42">
        <f t="shared" si="1"/>
        <v>1E+53</v>
      </c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</row>
    <row r="63">
      <c r="A63" s="114"/>
      <c r="B63" s="114"/>
      <c r="C63" s="114"/>
      <c r="D63" s="114"/>
      <c r="E63" s="114"/>
      <c r="F63" s="114"/>
      <c r="G63" s="121">
        <v>54.0</v>
      </c>
      <c r="H63" s="42">
        <f t="shared" si="1"/>
        <v>1E+54</v>
      </c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>
      <c r="A64" s="114"/>
      <c r="B64" s="114"/>
      <c r="C64" s="114"/>
      <c r="D64" s="114"/>
      <c r="E64" s="114"/>
      <c r="F64" s="114"/>
      <c r="G64" s="121">
        <v>55.0</v>
      </c>
      <c r="H64" s="42">
        <f t="shared" si="1"/>
        <v>1E+55</v>
      </c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</row>
    <row r="65">
      <c r="A65" s="114"/>
      <c r="B65" s="114"/>
      <c r="C65" s="114"/>
      <c r="D65" s="114"/>
      <c r="E65" s="114"/>
      <c r="F65" s="114"/>
      <c r="G65" s="121">
        <v>56.0</v>
      </c>
      <c r="H65" s="42">
        <f t="shared" si="1"/>
        <v>1E+56</v>
      </c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</row>
    <row r="66">
      <c r="A66" s="114"/>
      <c r="B66" s="114"/>
      <c r="C66" s="114"/>
      <c r="D66" s="114"/>
      <c r="E66" s="114"/>
      <c r="F66" s="114"/>
      <c r="G66" s="121">
        <v>57.0</v>
      </c>
      <c r="H66" s="42">
        <f t="shared" si="1"/>
        <v>1E+57</v>
      </c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</row>
    <row r="67">
      <c r="A67" s="114"/>
      <c r="B67" s="114"/>
      <c r="C67" s="114"/>
      <c r="D67" s="114"/>
      <c r="E67" s="114"/>
      <c r="F67" s="114"/>
      <c r="G67" s="121">
        <v>58.0</v>
      </c>
      <c r="H67" s="42">
        <f t="shared" si="1"/>
        <v>1E+58</v>
      </c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</row>
    <row r="68">
      <c r="A68" s="114"/>
      <c r="B68" s="114"/>
      <c r="C68" s="114"/>
      <c r="D68" s="114"/>
      <c r="E68" s="114"/>
      <c r="F68" s="114"/>
      <c r="G68" s="121">
        <v>59.0</v>
      </c>
      <c r="H68" s="42">
        <f t="shared" si="1"/>
        <v>1E+59</v>
      </c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</row>
    <row r="69">
      <c r="A69" s="114"/>
      <c r="B69" s="114"/>
      <c r="C69" s="114"/>
      <c r="D69" s="114"/>
      <c r="E69" s="114"/>
      <c r="F69" s="114"/>
      <c r="G69" s="121">
        <v>60.0</v>
      </c>
      <c r="H69" s="42">
        <f t="shared" si="1"/>
        <v>1E+60</v>
      </c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</row>
    <row r="70">
      <c r="A70" s="114"/>
      <c r="B70" s="114"/>
      <c r="C70" s="114"/>
      <c r="D70" s="114"/>
      <c r="E70" s="114"/>
      <c r="F70" s="114"/>
      <c r="G70" s="121">
        <v>61.0</v>
      </c>
      <c r="H70" s="42">
        <f t="shared" si="1"/>
        <v>1E+61</v>
      </c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</row>
    <row r="71">
      <c r="A71" s="114"/>
      <c r="B71" s="114"/>
      <c r="C71" s="114"/>
      <c r="D71" s="114"/>
      <c r="E71" s="114"/>
      <c r="F71" s="114"/>
      <c r="G71" s="121">
        <v>62.0</v>
      </c>
      <c r="H71" s="42">
        <f t="shared" si="1"/>
        <v>1E+62</v>
      </c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</row>
    <row r="72">
      <c r="A72" s="114"/>
      <c r="B72" s="114"/>
      <c r="C72" s="114"/>
      <c r="D72" s="114"/>
      <c r="E72" s="114"/>
      <c r="F72" s="114"/>
      <c r="G72" s="121">
        <v>63.0</v>
      </c>
      <c r="H72" s="42">
        <f t="shared" si="1"/>
        <v>1E+63</v>
      </c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</row>
    <row r="73">
      <c r="A73" s="114"/>
      <c r="B73" s="114"/>
      <c r="C73" s="114"/>
      <c r="D73" s="114"/>
      <c r="E73" s="114"/>
      <c r="F73" s="114"/>
      <c r="G73" s="121">
        <v>64.0</v>
      </c>
      <c r="H73" s="42">
        <f t="shared" si="1"/>
        <v>1E+64</v>
      </c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</row>
    <row r="74">
      <c r="A74" s="114"/>
      <c r="B74" s="114"/>
      <c r="C74" s="114"/>
      <c r="D74" s="114"/>
      <c r="E74" s="114"/>
      <c r="F74" s="114"/>
      <c r="G74" s="121">
        <v>65.0</v>
      </c>
      <c r="H74" s="42">
        <f t="shared" si="1"/>
        <v>1E+65</v>
      </c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>
      <c r="A75" s="114"/>
      <c r="B75" s="114"/>
      <c r="C75" s="114"/>
      <c r="D75" s="114"/>
      <c r="E75" s="114"/>
      <c r="F75" s="114"/>
      <c r="G75" s="121">
        <v>66.0</v>
      </c>
      <c r="H75" s="42">
        <f t="shared" si="1"/>
        <v>1E+66</v>
      </c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</row>
    <row r="76">
      <c r="A76" s="114"/>
      <c r="B76" s="114"/>
      <c r="C76" s="114"/>
      <c r="D76" s="114"/>
      <c r="E76" s="114"/>
      <c r="F76" s="114"/>
      <c r="G76" s="121">
        <v>67.0</v>
      </c>
      <c r="H76" s="42">
        <f t="shared" si="1"/>
        <v>1E+67</v>
      </c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</row>
    <row r="77">
      <c r="A77" s="114"/>
      <c r="B77" s="114"/>
      <c r="C77" s="114"/>
      <c r="D77" s="114"/>
      <c r="E77" s="114"/>
      <c r="F77" s="114"/>
      <c r="G77" s="121">
        <v>68.0</v>
      </c>
      <c r="H77" s="42">
        <f t="shared" si="1"/>
        <v>1E+68</v>
      </c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>
      <c r="A78" s="114"/>
      <c r="B78" s="114"/>
      <c r="C78" s="114"/>
      <c r="D78" s="114"/>
      <c r="E78" s="114"/>
      <c r="F78" s="114"/>
      <c r="G78" s="121">
        <v>69.0</v>
      </c>
      <c r="H78" s="42">
        <f t="shared" si="1"/>
        <v>1E+69</v>
      </c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>
      <c r="A79" s="114"/>
      <c r="B79" s="114"/>
      <c r="C79" s="114"/>
      <c r="D79" s="114"/>
      <c r="E79" s="114"/>
      <c r="F79" s="114"/>
      <c r="G79" s="121">
        <v>70.0</v>
      </c>
      <c r="H79" s="42">
        <f t="shared" si="1"/>
        <v>1E+70</v>
      </c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>
      <c r="A80" s="114"/>
      <c r="B80" s="114"/>
      <c r="C80" s="114"/>
      <c r="D80" s="114"/>
      <c r="E80" s="114"/>
      <c r="F80" s="114"/>
      <c r="G80" s="121">
        <v>71.0</v>
      </c>
      <c r="H80" s="42">
        <f t="shared" si="1"/>
        <v>1E+71</v>
      </c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</row>
    <row r="81">
      <c r="A81" s="114"/>
      <c r="B81" s="114"/>
      <c r="C81" s="114"/>
      <c r="D81" s="114"/>
      <c r="E81" s="114"/>
      <c r="F81" s="114"/>
      <c r="G81" s="121">
        <v>72.0</v>
      </c>
      <c r="H81" s="42">
        <f t="shared" si="1"/>
        <v>1E+72</v>
      </c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</row>
    <row r="82">
      <c r="A82" s="114"/>
      <c r="B82" s="114"/>
      <c r="C82" s="114"/>
      <c r="D82" s="114"/>
      <c r="E82" s="114"/>
      <c r="F82" s="114"/>
      <c r="G82" s="121">
        <v>73.0</v>
      </c>
      <c r="H82" s="42">
        <f t="shared" si="1"/>
        <v>1E+73</v>
      </c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</row>
    <row r="83">
      <c r="A83" s="114"/>
      <c r="B83" s="114"/>
      <c r="C83" s="114"/>
      <c r="D83" s="114"/>
      <c r="E83" s="114"/>
      <c r="F83" s="114"/>
      <c r="G83" s="121">
        <v>74.0</v>
      </c>
      <c r="H83" s="42">
        <f t="shared" si="1"/>
        <v>1E+74</v>
      </c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</row>
    <row r="84">
      <c r="A84" s="114"/>
      <c r="B84" s="114"/>
      <c r="C84" s="114"/>
      <c r="D84" s="114"/>
      <c r="E84" s="114"/>
      <c r="F84" s="114"/>
      <c r="G84" s="121">
        <v>75.0</v>
      </c>
      <c r="H84" s="42">
        <f t="shared" si="1"/>
        <v>1E+75</v>
      </c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</row>
    <row r="85">
      <c r="A85" s="114"/>
      <c r="B85" s="114"/>
      <c r="C85" s="114"/>
      <c r="D85" s="114"/>
      <c r="E85" s="114"/>
      <c r="F85" s="114"/>
      <c r="G85" s="121">
        <v>76.0</v>
      </c>
      <c r="H85" s="42">
        <f t="shared" si="1"/>
        <v>1E+76</v>
      </c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</row>
    <row r="86">
      <c r="A86" s="114"/>
      <c r="B86" s="114"/>
      <c r="C86" s="114"/>
      <c r="D86" s="114"/>
      <c r="E86" s="114"/>
      <c r="F86" s="114"/>
      <c r="G86" s="121">
        <v>77.0</v>
      </c>
      <c r="H86" s="42">
        <f t="shared" si="1"/>
        <v>1E+77</v>
      </c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</row>
    <row r="87">
      <c r="A87" s="114"/>
      <c r="B87" s="114"/>
      <c r="C87" s="114"/>
      <c r="D87" s="114"/>
      <c r="E87" s="114"/>
      <c r="F87" s="114"/>
      <c r="G87" s="121">
        <v>78.0</v>
      </c>
      <c r="H87" s="42">
        <f t="shared" si="1"/>
        <v>1E+78</v>
      </c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</row>
    <row r="88">
      <c r="A88" s="114"/>
      <c r="B88" s="114"/>
      <c r="C88" s="114"/>
      <c r="D88" s="114"/>
      <c r="E88" s="114"/>
      <c r="F88" s="114"/>
      <c r="G88" s="121">
        <v>79.0</v>
      </c>
      <c r="H88" s="42">
        <f t="shared" si="1"/>
        <v>1E+79</v>
      </c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</row>
    <row r="89">
      <c r="A89" s="114"/>
      <c r="B89" s="114"/>
      <c r="C89" s="114"/>
      <c r="D89" s="114"/>
      <c r="E89" s="114"/>
      <c r="F89" s="114"/>
      <c r="G89" s="121">
        <v>80.0</v>
      </c>
      <c r="H89" s="42">
        <f t="shared" si="1"/>
        <v>1E+80</v>
      </c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</row>
    <row r="90">
      <c r="A90" s="114"/>
      <c r="B90" s="114"/>
      <c r="C90" s="114"/>
      <c r="D90" s="114"/>
      <c r="E90" s="114"/>
      <c r="F90" s="114"/>
      <c r="G90" s="121">
        <v>81.0</v>
      </c>
      <c r="H90" s="42">
        <f t="shared" si="1"/>
        <v>1E+81</v>
      </c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</row>
    <row r="91">
      <c r="A91" s="114"/>
      <c r="B91" s="114"/>
      <c r="C91" s="114"/>
      <c r="D91" s="114"/>
      <c r="E91" s="114"/>
      <c r="F91" s="114"/>
      <c r="G91" s="121">
        <v>82.0</v>
      </c>
      <c r="H91" s="42">
        <f t="shared" si="1"/>
        <v>1E+82</v>
      </c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</row>
    <row r="92">
      <c r="A92" s="114"/>
      <c r="B92" s="114"/>
      <c r="C92" s="114"/>
      <c r="D92" s="114"/>
      <c r="E92" s="114"/>
      <c r="F92" s="114"/>
      <c r="G92" s="121">
        <v>83.0</v>
      </c>
      <c r="H92" s="42">
        <f t="shared" si="1"/>
        <v>1E+83</v>
      </c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</row>
    <row r="93">
      <c r="A93" s="114"/>
      <c r="B93" s="114"/>
      <c r="C93" s="114"/>
      <c r="D93" s="114"/>
      <c r="E93" s="114"/>
      <c r="F93" s="114"/>
      <c r="G93" s="121">
        <v>84.0</v>
      </c>
      <c r="H93" s="42">
        <f t="shared" si="1"/>
        <v>1E+84</v>
      </c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</row>
    <row r="94">
      <c r="A94" s="114"/>
      <c r="B94" s="114"/>
      <c r="C94" s="114"/>
      <c r="D94" s="114"/>
      <c r="E94" s="114"/>
      <c r="F94" s="114"/>
      <c r="G94" s="121">
        <v>85.0</v>
      </c>
      <c r="H94" s="42">
        <f t="shared" si="1"/>
        <v>1E+85</v>
      </c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</row>
    <row r="95">
      <c r="A95" s="114"/>
      <c r="B95" s="114"/>
      <c r="C95" s="114"/>
      <c r="D95" s="114"/>
      <c r="E95" s="114"/>
      <c r="F95" s="114"/>
      <c r="G95" s="121">
        <v>86.0</v>
      </c>
      <c r="H95" s="42">
        <f t="shared" si="1"/>
        <v>1E+86</v>
      </c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</row>
    <row r="96">
      <c r="A96" s="114"/>
      <c r="B96" s="114"/>
      <c r="C96" s="114"/>
      <c r="D96" s="114"/>
      <c r="E96" s="114"/>
      <c r="F96" s="114"/>
      <c r="G96" s="121">
        <v>87.0</v>
      </c>
      <c r="H96" s="42">
        <f t="shared" si="1"/>
        <v>1E+87</v>
      </c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</row>
    <row r="97">
      <c r="A97" s="114"/>
      <c r="B97" s="114"/>
      <c r="C97" s="114"/>
      <c r="D97" s="114"/>
      <c r="E97" s="114"/>
      <c r="F97" s="114"/>
      <c r="G97" s="121">
        <v>88.0</v>
      </c>
      <c r="H97" s="42">
        <f t="shared" si="1"/>
        <v>1E+88</v>
      </c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</row>
    <row r="98">
      <c r="A98" s="114"/>
      <c r="B98" s="114"/>
      <c r="C98" s="114"/>
      <c r="D98" s="114"/>
      <c r="E98" s="114"/>
      <c r="F98" s="114"/>
      <c r="G98" s="121">
        <v>89.0</v>
      </c>
      <c r="H98" s="42">
        <f t="shared" si="1"/>
        <v>1E+89</v>
      </c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</row>
    <row r="99">
      <c r="A99" s="114"/>
      <c r="B99" s="114"/>
      <c r="C99" s="114"/>
      <c r="D99" s="114"/>
      <c r="E99" s="114"/>
      <c r="F99" s="114"/>
      <c r="G99" s="121">
        <v>90.0</v>
      </c>
      <c r="H99" s="42">
        <f t="shared" si="1"/>
        <v>1E+90</v>
      </c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</row>
    <row r="100">
      <c r="A100" s="114"/>
      <c r="B100" s="114"/>
      <c r="C100" s="114"/>
      <c r="D100" s="114"/>
      <c r="E100" s="114"/>
      <c r="F100" s="114"/>
      <c r="G100" s="121">
        <v>91.0</v>
      </c>
      <c r="H100" s="42">
        <f t="shared" si="1"/>
        <v>1E+91</v>
      </c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</row>
    <row r="101">
      <c r="A101" s="114"/>
      <c r="B101" s="114"/>
      <c r="C101" s="114"/>
      <c r="D101" s="114"/>
      <c r="E101" s="114"/>
      <c r="F101" s="114"/>
      <c r="G101" s="121">
        <v>92.0</v>
      </c>
      <c r="H101" s="42">
        <f t="shared" si="1"/>
        <v>1E+92</v>
      </c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</row>
    <row r="102">
      <c r="A102" s="114"/>
      <c r="B102" s="114"/>
      <c r="C102" s="114"/>
      <c r="D102" s="114"/>
      <c r="E102" s="114"/>
      <c r="F102" s="114"/>
      <c r="G102" s="121">
        <v>93.0</v>
      </c>
      <c r="H102" s="42">
        <f t="shared" si="1"/>
        <v>1E+93</v>
      </c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</row>
    <row r="103">
      <c r="A103" s="114"/>
      <c r="B103" s="114"/>
      <c r="C103" s="114"/>
      <c r="D103" s="114"/>
      <c r="E103" s="114"/>
      <c r="F103" s="114"/>
      <c r="G103" s="121">
        <v>94.0</v>
      </c>
      <c r="H103" s="42">
        <f t="shared" si="1"/>
        <v>1E+94</v>
      </c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</row>
    <row r="104">
      <c r="A104" s="114"/>
      <c r="B104" s="114"/>
      <c r="C104" s="114"/>
      <c r="D104" s="114"/>
      <c r="E104" s="114"/>
      <c r="F104" s="114"/>
      <c r="G104" s="121">
        <v>95.0</v>
      </c>
      <c r="H104" s="42">
        <f t="shared" si="1"/>
        <v>1E+95</v>
      </c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</row>
    <row r="105">
      <c r="A105" s="114"/>
      <c r="B105" s="114"/>
      <c r="C105" s="114"/>
      <c r="D105" s="114"/>
      <c r="E105" s="114"/>
      <c r="F105" s="114"/>
      <c r="G105" s="121">
        <v>96.0</v>
      </c>
      <c r="H105" s="42">
        <f t="shared" si="1"/>
        <v>1E+96</v>
      </c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</row>
    <row r="106">
      <c r="A106" s="114"/>
      <c r="B106" s="114"/>
      <c r="C106" s="114"/>
      <c r="D106" s="114"/>
      <c r="E106" s="114"/>
      <c r="F106" s="114"/>
      <c r="G106" s="121">
        <v>97.0</v>
      </c>
      <c r="H106" s="42">
        <f t="shared" si="1"/>
        <v>1E+97</v>
      </c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</row>
    <row r="107">
      <c r="A107" s="114"/>
      <c r="B107" s="114"/>
      <c r="C107" s="114"/>
      <c r="D107" s="114"/>
      <c r="E107" s="114"/>
      <c r="F107" s="114"/>
      <c r="G107" s="121">
        <v>98.0</v>
      </c>
      <c r="H107" s="42">
        <f t="shared" si="1"/>
        <v>1E+98</v>
      </c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</row>
    <row r="108">
      <c r="A108" s="114"/>
      <c r="B108" s="114"/>
      <c r="C108" s="114"/>
      <c r="D108" s="114"/>
      <c r="E108" s="114"/>
      <c r="F108" s="114"/>
      <c r="G108" s="121">
        <v>99.0</v>
      </c>
      <c r="H108" s="42">
        <f t="shared" si="1"/>
        <v>1E+99</v>
      </c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</row>
    <row r="109">
      <c r="A109" s="114"/>
      <c r="B109" s="114"/>
      <c r="C109" s="114"/>
      <c r="D109" s="114"/>
      <c r="E109" s="114"/>
      <c r="F109" s="114"/>
      <c r="G109" s="121">
        <v>100.0</v>
      </c>
      <c r="H109" s="42">
        <f t="shared" si="1"/>
        <v>1E+100</v>
      </c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</row>
    <row r="110">
      <c r="A110" s="114"/>
      <c r="B110" s="114"/>
      <c r="C110" s="114"/>
      <c r="D110" s="114"/>
      <c r="E110" s="114"/>
      <c r="F110" s="114"/>
      <c r="G110" s="121">
        <v>101.0</v>
      </c>
      <c r="H110" s="42">
        <f t="shared" si="1"/>
        <v>1E+101</v>
      </c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</row>
    <row r="111">
      <c r="A111" s="114"/>
      <c r="B111" s="114"/>
      <c r="C111" s="114"/>
      <c r="D111" s="114"/>
      <c r="E111" s="114"/>
      <c r="F111" s="114"/>
      <c r="G111" s="121">
        <v>102.0</v>
      </c>
      <c r="H111" s="42">
        <f t="shared" si="1"/>
        <v>1E+102</v>
      </c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</row>
    <row r="112">
      <c r="A112" s="114"/>
      <c r="B112" s="114"/>
      <c r="C112" s="114"/>
      <c r="D112" s="114"/>
      <c r="E112" s="114"/>
      <c r="F112" s="114"/>
      <c r="G112" s="121">
        <v>103.0</v>
      </c>
      <c r="H112" s="42">
        <f t="shared" si="1"/>
        <v>1E+103</v>
      </c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</row>
    <row r="113">
      <c r="A113" s="114"/>
      <c r="B113" s="114"/>
      <c r="C113" s="114"/>
      <c r="D113" s="114"/>
      <c r="E113" s="114"/>
      <c r="F113" s="114"/>
      <c r="G113" s="121">
        <v>104.0</v>
      </c>
      <c r="H113" s="42">
        <f t="shared" si="1"/>
        <v>1E+104</v>
      </c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</row>
    <row r="114">
      <c r="A114" s="114"/>
      <c r="B114" s="114"/>
      <c r="C114" s="114"/>
      <c r="D114" s="114"/>
      <c r="E114" s="114"/>
      <c r="F114" s="114"/>
      <c r="G114" s="121">
        <v>105.0</v>
      </c>
      <c r="H114" s="42">
        <f t="shared" si="1"/>
        <v>1E+105</v>
      </c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</row>
    <row r="115">
      <c r="A115" s="114"/>
      <c r="B115" s="114"/>
      <c r="C115" s="114"/>
      <c r="D115" s="114"/>
      <c r="E115" s="114"/>
      <c r="F115" s="114"/>
      <c r="G115" s="121">
        <v>106.0</v>
      </c>
      <c r="H115" s="42">
        <f t="shared" si="1"/>
        <v>1E+106</v>
      </c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</row>
    <row r="116">
      <c r="A116" s="114"/>
      <c r="B116" s="114"/>
      <c r="C116" s="114"/>
      <c r="D116" s="114"/>
      <c r="E116" s="114"/>
      <c r="F116" s="114"/>
      <c r="G116" s="121">
        <v>107.0</v>
      </c>
      <c r="H116" s="42">
        <f t="shared" si="1"/>
        <v>1E+107</v>
      </c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</row>
    <row r="117">
      <c r="A117" s="114"/>
      <c r="B117" s="114"/>
      <c r="C117" s="114"/>
      <c r="D117" s="114"/>
      <c r="E117" s="114"/>
      <c r="F117" s="114"/>
      <c r="G117" s="121">
        <v>108.0</v>
      </c>
      <c r="H117" s="42">
        <f t="shared" si="1"/>
        <v>1E+108</v>
      </c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</row>
    <row r="118">
      <c r="A118" s="114"/>
      <c r="B118" s="114"/>
      <c r="C118" s="114"/>
      <c r="D118" s="114"/>
      <c r="E118" s="114"/>
      <c r="F118" s="114"/>
      <c r="G118" s="121">
        <v>109.0</v>
      </c>
      <c r="H118" s="42">
        <f t="shared" si="1"/>
        <v>1E+109</v>
      </c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</row>
    <row r="119">
      <c r="A119" s="114"/>
      <c r="B119" s="114"/>
      <c r="C119" s="114"/>
      <c r="D119" s="114"/>
      <c r="E119" s="114"/>
      <c r="F119" s="114"/>
      <c r="G119" s="121">
        <v>110.0</v>
      </c>
      <c r="H119" s="42">
        <f t="shared" si="1"/>
        <v>1E+110</v>
      </c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</row>
    <row r="120">
      <c r="A120" s="114"/>
      <c r="B120" s="114"/>
      <c r="C120" s="114"/>
      <c r="D120" s="114"/>
      <c r="E120" s="114"/>
      <c r="F120" s="114"/>
      <c r="G120" s="121">
        <v>111.0</v>
      </c>
      <c r="H120" s="42">
        <f t="shared" si="1"/>
        <v>1E+111</v>
      </c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</row>
    <row r="121">
      <c r="A121" s="114"/>
      <c r="B121" s="114"/>
      <c r="C121" s="114"/>
      <c r="D121" s="114"/>
      <c r="E121" s="114"/>
      <c r="F121" s="114"/>
      <c r="G121" s="121">
        <v>112.0</v>
      </c>
      <c r="H121" s="42">
        <f t="shared" si="1"/>
        <v>1E+112</v>
      </c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</row>
    <row r="122">
      <c r="A122" s="114"/>
      <c r="B122" s="114"/>
      <c r="C122" s="114"/>
      <c r="D122" s="114"/>
      <c r="E122" s="114"/>
      <c r="F122" s="114"/>
      <c r="G122" s="121">
        <v>113.0</v>
      </c>
      <c r="H122" s="42">
        <f t="shared" si="1"/>
        <v>1E+113</v>
      </c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</row>
    <row r="123">
      <c r="A123" s="114"/>
      <c r="B123" s="114"/>
      <c r="C123" s="114"/>
      <c r="D123" s="114"/>
      <c r="E123" s="114"/>
      <c r="F123" s="114"/>
      <c r="G123" s="121">
        <v>114.0</v>
      </c>
      <c r="H123" s="42">
        <f t="shared" si="1"/>
        <v>1E+114</v>
      </c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</row>
    <row r="124">
      <c r="A124" s="114"/>
      <c r="B124" s="114"/>
      <c r="C124" s="114"/>
      <c r="D124" s="114"/>
      <c r="E124" s="114"/>
      <c r="F124" s="114"/>
      <c r="G124" s="121">
        <v>115.0</v>
      </c>
      <c r="H124" s="42">
        <f t="shared" si="1"/>
        <v>1E+115</v>
      </c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</row>
    <row r="125">
      <c r="A125" s="114"/>
      <c r="B125" s="114"/>
      <c r="C125" s="114"/>
      <c r="D125" s="114"/>
      <c r="E125" s="114"/>
      <c r="F125" s="114"/>
      <c r="G125" s="121">
        <v>116.0</v>
      </c>
      <c r="H125" s="42">
        <f t="shared" si="1"/>
        <v>1E+116</v>
      </c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</row>
    <row r="126">
      <c r="A126" s="114"/>
      <c r="B126" s="114"/>
      <c r="C126" s="114"/>
      <c r="D126" s="114"/>
      <c r="E126" s="114"/>
      <c r="F126" s="114"/>
      <c r="G126" s="121">
        <v>117.0</v>
      </c>
      <c r="H126" s="42">
        <f t="shared" si="1"/>
        <v>1E+117</v>
      </c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</row>
    <row r="127">
      <c r="A127" s="114"/>
      <c r="B127" s="114"/>
      <c r="C127" s="114"/>
      <c r="D127" s="114"/>
      <c r="E127" s="114"/>
      <c r="F127" s="114"/>
      <c r="G127" s="121">
        <v>118.0</v>
      </c>
      <c r="H127" s="42">
        <f t="shared" si="1"/>
        <v>1E+118</v>
      </c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</row>
    <row r="128">
      <c r="A128" s="114"/>
      <c r="B128" s="114"/>
      <c r="C128" s="114"/>
      <c r="D128" s="114"/>
      <c r="E128" s="114"/>
      <c r="F128" s="114"/>
      <c r="G128" s="121">
        <v>119.0</v>
      </c>
      <c r="H128" s="42">
        <f t="shared" si="1"/>
        <v>1E+119</v>
      </c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</row>
    <row r="129">
      <c r="A129" s="114"/>
      <c r="B129" s="114"/>
      <c r="C129" s="114"/>
      <c r="D129" s="114"/>
      <c r="E129" s="114"/>
      <c r="F129" s="114"/>
      <c r="G129" s="121">
        <v>120.0</v>
      </c>
      <c r="H129" s="42">
        <f t="shared" si="1"/>
        <v>1E+120</v>
      </c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</row>
    <row r="130">
      <c r="A130" s="114"/>
      <c r="B130" s="114"/>
      <c r="C130" s="114"/>
      <c r="D130" s="114"/>
      <c r="E130" s="114"/>
      <c r="F130" s="114"/>
      <c r="G130" s="121">
        <v>121.0</v>
      </c>
      <c r="H130" s="42">
        <f t="shared" si="1"/>
        <v>1E+121</v>
      </c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</row>
    <row r="131">
      <c r="A131" s="114"/>
      <c r="B131" s="114"/>
      <c r="C131" s="114"/>
      <c r="D131" s="114"/>
      <c r="E131" s="114"/>
      <c r="F131" s="114"/>
      <c r="G131" s="121">
        <v>122.0</v>
      </c>
      <c r="H131" s="42">
        <f t="shared" si="1"/>
        <v>1E+122</v>
      </c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</row>
    <row r="132">
      <c r="A132" s="114"/>
      <c r="B132" s="114"/>
      <c r="C132" s="114"/>
      <c r="D132" s="114"/>
      <c r="E132" s="114"/>
      <c r="F132" s="114"/>
      <c r="G132" s="121">
        <v>123.0</v>
      </c>
      <c r="H132" s="42">
        <f t="shared" si="1"/>
        <v>1E+123</v>
      </c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</row>
    <row r="133">
      <c r="A133" s="114"/>
      <c r="B133" s="114"/>
      <c r="C133" s="114"/>
      <c r="D133" s="114"/>
      <c r="E133" s="114"/>
      <c r="F133" s="114"/>
      <c r="G133" s="121">
        <v>124.0</v>
      </c>
      <c r="H133" s="42">
        <f t="shared" si="1"/>
        <v>1E+124</v>
      </c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</row>
    <row r="134">
      <c r="A134" s="114"/>
      <c r="B134" s="114"/>
      <c r="C134" s="114"/>
      <c r="D134" s="114"/>
      <c r="E134" s="114"/>
      <c r="F134" s="114"/>
      <c r="G134" s="121">
        <v>125.0</v>
      </c>
      <c r="H134" s="42">
        <f t="shared" si="1"/>
        <v>1E+125</v>
      </c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</row>
    <row r="135">
      <c r="A135" s="114"/>
      <c r="B135" s="114"/>
      <c r="C135" s="114"/>
      <c r="D135" s="114"/>
      <c r="E135" s="114"/>
      <c r="F135" s="114"/>
      <c r="G135" s="121">
        <v>126.0</v>
      </c>
      <c r="H135" s="42">
        <f t="shared" si="1"/>
        <v>1E+126</v>
      </c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</row>
    <row r="136">
      <c r="A136" s="114"/>
      <c r="B136" s="114"/>
      <c r="C136" s="114"/>
      <c r="D136" s="114"/>
      <c r="E136" s="114"/>
      <c r="F136" s="114"/>
      <c r="G136" s="121">
        <v>127.0</v>
      </c>
      <c r="H136" s="42">
        <f t="shared" si="1"/>
        <v>1E+127</v>
      </c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</row>
    <row r="137">
      <c r="A137" s="114"/>
      <c r="B137" s="114"/>
      <c r="C137" s="114"/>
      <c r="D137" s="114"/>
      <c r="E137" s="114"/>
      <c r="F137" s="114"/>
      <c r="G137" s="121">
        <v>128.0</v>
      </c>
      <c r="H137" s="42">
        <f t="shared" si="1"/>
        <v>1E+128</v>
      </c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</row>
    <row r="138">
      <c r="A138" s="114"/>
      <c r="B138" s="114"/>
      <c r="C138" s="114"/>
      <c r="D138" s="114"/>
      <c r="E138" s="114"/>
      <c r="F138" s="114"/>
      <c r="G138" s="121">
        <v>129.0</v>
      </c>
      <c r="H138" s="42">
        <f t="shared" si="1"/>
        <v>1E+129</v>
      </c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</row>
    <row r="139">
      <c r="A139" s="114"/>
      <c r="B139" s="114"/>
      <c r="C139" s="114"/>
      <c r="D139" s="114"/>
      <c r="E139" s="114"/>
      <c r="F139" s="114"/>
      <c r="G139" s="121">
        <v>130.0</v>
      </c>
      <c r="H139" s="42">
        <f t="shared" si="1"/>
        <v>1E+130</v>
      </c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</row>
    <row r="140">
      <c r="A140" s="114"/>
      <c r="B140" s="114"/>
      <c r="C140" s="114"/>
      <c r="D140" s="114"/>
      <c r="E140" s="114"/>
      <c r="F140" s="114"/>
      <c r="G140" s="121">
        <v>131.0</v>
      </c>
      <c r="H140" s="42">
        <f t="shared" si="1"/>
        <v>1E+131</v>
      </c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</row>
    <row r="141">
      <c r="A141" s="114"/>
      <c r="B141" s="114"/>
      <c r="C141" s="114"/>
      <c r="D141" s="114"/>
      <c r="E141" s="114"/>
      <c r="F141" s="114"/>
      <c r="G141" s="121">
        <v>132.0</v>
      </c>
      <c r="H141" s="42">
        <f t="shared" si="1"/>
        <v>1E+132</v>
      </c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</row>
    <row r="142">
      <c r="A142" s="114"/>
      <c r="B142" s="114"/>
      <c r="C142" s="114"/>
      <c r="D142" s="114"/>
      <c r="E142" s="114"/>
      <c r="F142" s="114"/>
      <c r="G142" s="121">
        <v>133.0</v>
      </c>
      <c r="H142" s="42">
        <f t="shared" si="1"/>
        <v>1E+133</v>
      </c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</row>
    <row r="143">
      <c r="A143" s="114"/>
      <c r="B143" s="114"/>
      <c r="C143" s="114"/>
      <c r="D143" s="114"/>
      <c r="E143" s="114"/>
      <c r="F143" s="114"/>
      <c r="G143" s="121">
        <v>134.0</v>
      </c>
      <c r="H143" s="42">
        <f t="shared" si="1"/>
        <v>1E+134</v>
      </c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</row>
    <row r="144">
      <c r="A144" s="114"/>
      <c r="B144" s="114"/>
      <c r="C144" s="114"/>
      <c r="D144" s="114"/>
      <c r="E144" s="114"/>
      <c r="F144" s="114"/>
      <c r="G144" s="121">
        <v>135.0</v>
      </c>
      <c r="H144" s="42">
        <f t="shared" si="1"/>
        <v>1E+135</v>
      </c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</row>
    <row r="145">
      <c r="A145" s="114"/>
      <c r="B145" s="114"/>
      <c r="C145" s="114"/>
      <c r="D145" s="114"/>
      <c r="E145" s="114"/>
      <c r="F145" s="114"/>
      <c r="G145" s="121">
        <v>136.0</v>
      </c>
      <c r="H145" s="42">
        <f t="shared" si="1"/>
        <v>1E+136</v>
      </c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</row>
    <row r="146">
      <c r="A146" s="114"/>
      <c r="B146" s="114"/>
      <c r="C146" s="114"/>
      <c r="D146" s="114"/>
      <c r="E146" s="114"/>
      <c r="F146" s="114"/>
      <c r="G146" s="121">
        <v>137.0</v>
      </c>
      <c r="H146" s="42">
        <f t="shared" si="1"/>
        <v>1E+137</v>
      </c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</row>
    <row r="147">
      <c r="A147" s="114"/>
      <c r="B147" s="114"/>
      <c r="C147" s="114"/>
      <c r="D147" s="114"/>
      <c r="E147" s="114"/>
      <c r="F147" s="114"/>
      <c r="G147" s="121">
        <v>138.0</v>
      </c>
      <c r="H147" s="42">
        <f t="shared" si="1"/>
        <v>1E+138</v>
      </c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</row>
    <row r="148">
      <c r="A148" s="114"/>
      <c r="B148" s="114"/>
      <c r="C148" s="114"/>
      <c r="D148" s="114"/>
      <c r="E148" s="114"/>
      <c r="F148" s="114"/>
      <c r="G148" s="121">
        <v>139.0</v>
      </c>
      <c r="H148" s="42">
        <f t="shared" si="1"/>
        <v>1E+139</v>
      </c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</row>
    <row r="149">
      <c r="A149" s="114"/>
      <c r="B149" s="114"/>
      <c r="C149" s="114"/>
      <c r="D149" s="114"/>
      <c r="E149" s="114"/>
      <c r="F149" s="114"/>
      <c r="G149" s="121">
        <v>140.0</v>
      </c>
      <c r="H149" s="42">
        <f t="shared" si="1"/>
        <v>1E+140</v>
      </c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</row>
    <row r="150">
      <c r="A150" s="114"/>
      <c r="B150" s="114"/>
      <c r="C150" s="114"/>
      <c r="D150" s="114"/>
      <c r="E150" s="114"/>
      <c r="F150" s="114"/>
      <c r="G150" s="121">
        <v>141.0</v>
      </c>
      <c r="H150" s="42">
        <f t="shared" si="1"/>
        <v>1E+141</v>
      </c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</row>
    <row r="151">
      <c r="A151" s="114"/>
      <c r="B151" s="114"/>
      <c r="C151" s="114"/>
      <c r="D151" s="114"/>
      <c r="E151" s="114"/>
      <c r="F151" s="114"/>
      <c r="G151" s="121">
        <v>142.0</v>
      </c>
      <c r="H151" s="42">
        <f t="shared" si="1"/>
        <v>1E+142</v>
      </c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</row>
    <row r="152">
      <c r="A152" s="114"/>
      <c r="B152" s="114"/>
      <c r="C152" s="114"/>
      <c r="D152" s="114"/>
      <c r="E152" s="114"/>
      <c r="F152" s="114"/>
      <c r="G152" s="121">
        <v>143.0</v>
      </c>
      <c r="H152" s="42">
        <f t="shared" si="1"/>
        <v>1E+143</v>
      </c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</row>
    <row r="153">
      <c r="A153" s="114"/>
      <c r="B153" s="114"/>
      <c r="C153" s="114"/>
      <c r="D153" s="114"/>
      <c r="E153" s="114"/>
      <c r="F153" s="114"/>
      <c r="G153" s="121">
        <v>144.0</v>
      </c>
      <c r="H153" s="42">
        <f t="shared" si="1"/>
        <v>1E+144</v>
      </c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</row>
    <row r="154">
      <c r="A154" s="114"/>
      <c r="B154" s="114"/>
      <c r="C154" s="114"/>
      <c r="D154" s="114"/>
      <c r="E154" s="114"/>
      <c r="F154" s="114"/>
      <c r="G154" s="121">
        <v>145.0</v>
      </c>
      <c r="H154" s="42">
        <f t="shared" si="1"/>
        <v>1E+145</v>
      </c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</row>
    <row r="155">
      <c r="A155" s="114"/>
      <c r="B155" s="114"/>
      <c r="C155" s="114"/>
      <c r="D155" s="114"/>
      <c r="E155" s="114"/>
      <c r="F155" s="114"/>
      <c r="G155" s="121">
        <v>146.0</v>
      </c>
      <c r="H155" s="42">
        <f t="shared" si="1"/>
        <v>1E+146</v>
      </c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</row>
    <row r="156">
      <c r="A156" s="114"/>
      <c r="B156" s="114"/>
      <c r="C156" s="114"/>
      <c r="D156" s="114"/>
      <c r="E156" s="114"/>
      <c r="F156" s="114"/>
      <c r="G156" s="121">
        <v>147.0</v>
      </c>
      <c r="H156" s="42">
        <f t="shared" si="1"/>
        <v>1E+147</v>
      </c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</row>
    <row r="157">
      <c r="A157" s="114"/>
      <c r="B157" s="114"/>
      <c r="C157" s="114"/>
      <c r="D157" s="114"/>
      <c r="E157" s="114"/>
      <c r="F157" s="114"/>
      <c r="G157" s="121">
        <v>148.0</v>
      </c>
      <c r="H157" s="42">
        <f t="shared" si="1"/>
        <v>1E+148</v>
      </c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</row>
    <row r="158">
      <c r="A158" s="114"/>
      <c r="B158" s="114"/>
      <c r="C158" s="114"/>
      <c r="D158" s="114"/>
      <c r="E158" s="114"/>
      <c r="F158" s="114"/>
      <c r="G158" s="121">
        <v>149.0</v>
      </c>
      <c r="H158" s="42">
        <f t="shared" si="1"/>
        <v>1E+149</v>
      </c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</row>
    <row r="159">
      <c r="A159" s="114"/>
      <c r="B159" s="114"/>
      <c r="C159" s="114"/>
      <c r="D159" s="114"/>
      <c r="E159" s="114"/>
      <c r="F159" s="114"/>
      <c r="G159" s="121">
        <v>150.0</v>
      </c>
      <c r="H159" s="42">
        <f t="shared" si="1"/>
        <v>1E+150</v>
      </c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</row>
    <row r="160">
      <c r="A160" s="114"/>
      <c r="B160" s="114"/>
      <c r="C160" s="114"/>
      <c r="D160" s="114"/>
      <c r="E160" s="114"/>
      <c r="F160" s="114"/>
      <c r="G160" s="121">
        <v>151.0</v>
      </c>
      <c r="H160" s="42">
        <f t="shared" si="1"/>
        <v>1E+151</v>
      </c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</row>
    <row r="161">
      <c r="A161" s="114"/>
      <c r="B161" s="114"/>
      <c r="C161" s="114"/>
      <c r="D161" s="114"/>
      <c r="E161" s="114"/>
      <c r="F161" s="114"/>
      <c r="G161" s="121">
        <v>152.0</v>
      </c>
      <c r="H161" s="42">
        <f t="shared" si="1"/>
        <v>1E+152</v>
      </c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</row>
    <row r="162">
      <c r="A162" s="114"/>
      <c r="B162" s="114"/>
      <c r="C162" s="114"/>
      <c r="D162" s="114"/>
      <c r="E162" s="114"/>
      <c r="F162" s="114"/>
      <c r="G162" s="121">
        <v>153.0</v>
      </c>
      <c r="H162" s="42">
        <f t="shared" si="1"/>
        <v>1E+153</v>
      </c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</row>
    <row r="163">
      <c r="A163" s="114"/>
      <c r="B163" s="114"/>
      <c r="C163" s="114"/>
      <c r="D163" s="114"/>
      <c r="E163" s="114"/>
      <c r="F163" s="114"/>
      <c r="G163" s="121">
        <v>154.0</v>
      </c>
      <c r="H163" s="42">
        <f t="shared" si="1"/>
        <v>1E+154</v>
      </c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</row>
    <row r="164">
      <c r="A164" s="114"/>
      <c r="B164" s="114"/>
      <c r="C164" s="114"/>
      <c r="D164" s="114"/>
      <c r="E164" s="114"/>
      <c r="F164" s="114"/>
      <c r="G164" s="121">
        <v>155.0</v>
      </c>
      <c r="H164" s="42">
        <f t="shared" si="1"/>
        <v>1E+155</v>
      </c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</row>
    <row r="165">
      <c r="A165" s="114"/>
      <c r="B165" s="114"/>
      <c r="C165" s="114"/>
      <c r="D165" s="114"/>
      <c r="E165" s="114"/>
      <c r="F165" s="114"/>
      <c r="G165" s="121">
        <v>156.0</v>
      </c>
      <c r="H165" s="42">
        <f t="shared" si="1"/>
        <v>1E+156</v>
      </c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</row>
    <row r="166">
      <c r="A166" s="114"/>
      <c r="B166" s="114"/>
      <c r="C166" s="114"/>
      <c r="D166" s="114"/>
      <c r="E166" s="114"/>
      <c r="F166" s="114"/>
      <c r="G166" s="121">
        <v>157.0</v>
      </c>
      <c r="H166" s="42">
        <f t="shared" si="1"/>
        <v>1E+157</v>
      </c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</row>
    <row r="167">
      <c r="A167" s="114"/>
      <c r="B167" s="114"/>
      <c r="C167" s="114"/>
      <c r="D167" s="114"/>
      <c r="E167" s="114"/>
      <c r="F167" s="114"/>
      <c r="G167" s="121">
        <v>158.0</v>
      </c>
      <c r="H167" s="42">
        <f t="shared" si="1"/>
        <v>1E+158</v>
      </c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</row>
    <row r="168">
      <c r="A168" s="114"/>
      <c r="B168" s="114"/>
      <c r="C168" s="114"/>
      <c r="D168" s="114"/>
      <c r="E168" s="114"/>
      <c r="F168" s="114"/>
      <c r="G168" s="121">
        <v>159.0</v>
      </c>
      <c r="H168" s="42">
        <f t="shared" si="1"/>
        <v>1E+159</v>
      </c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</row>
    <row r="169">
      <c r="A169" s="114"/>
      <c r="B169" s="114"/>
      <c r="C169" s="114"/>
      <c r="D169" s="114"/>
      <c r="E169" s="114"/>
      <c r="F169" s="114"/>
      <c r="G169" s="121">
        <v>160.0</v>
      </c>
      <c r="H169" s="42">
        <f t="shared" si="1"/>
        <v>1E+160</v>
      </c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</row>
    <row r="170">
      <c r="A170" s="114"/>
      <c r="B170" s="114"/>
      <c r="C170" s="114"/>
      <c r="D170" s="114"/>
      <c r="E170" s="114"/>
      <c r="F170" s="114"/>
      <c r="G170" s="121">
        <v>161.0</v>
      </c>
      <c r="H170" s="42">
        <f t="shared" si="1"/>
        <v>1E+161</v>
      </c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</row>
    <row r="171">
      <c r="A171" s="114"/>
      <c r="B171" s="114"/>
      <c r="C171" s="114"/>
      <c r="D171" s="114"/>
      <c r="E171" s="114"/>
      <c r="F171" s="114"/>
      <c r="G171" s="121">
        <v>162.0</v>
      </c>
      <c r="H171" s="42">
        <f t="shared" si="1"/>
        <v>1E+162</v>
      </c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</row>
    <row r="172">
      <c r="A172" s="114"/>
      <c r="B172" s="114"/>
      <c r="C172" s="114"/>
      <c r="D172" s="114"/>
      <c r="E172" s="114"/>
      <c r="F172" s="114"/>
      <c r="G172" s="121">
        <v>163.0</v>
      </c>
      <c r="H172" s="42">
        <f t="shared" si="1"/>
        <v>1E+163</v>
      </c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</row>
    <row r="173">
      <c r="A173" s="114"/>
      <c r="B173" s="114"/>
      <c r="C173" s="114"/>
      <c r="D173" s="114"/>
      <c r="E173" s="114"/>
      <c r="F173" s="114"/>
      <c r="G173" s="121">
        <v>164.0</v>
      </c>
      <c r="H173" s="42">
        <f t="shared" si="1"/>
        <v>1E+164</v>
      </c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</row>
    <row r="174">
      <c r="A174" s="114"/>
      <c r="B174" s="114"/>
      <c r="C174" s="114"/>
      <c r="D174" s="114"/>
      <c r="E174" s="114"/>
      <c r="F174" s="114"/>
      <c r="G174" s="121">
        <v>165.0</v>
      </c>
      <c r="H174" s="42">
        <f t="shared" si="1"/>
        <v>1E+165</v>
      </c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</row>
    <row r="175">
      <c r="A175" s="114"/>
      <c r="B175" s="114"/>
      <c r="C175" s="114"/>
      <c r="D175" s="114"/>
      <c r="E175" s="114"/>
      <c r="F175" s="114"/>
      <c r="G175" s="121">
        <v>166.0</v>
      </c>
      <c r="H175" s="42">
        <f t="shared" si="1"/>
        <v>1E+166</v>
      </c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</row>
    <row r="176">
      <c r="A176" s="114"/>
      <c r="B176" s="114"/>
      <c r="C176" s="114"/>
      <c r="D176" s="114"/>
      <c r="E176" s="114"/>
      <c r="F176" s="114"/>
      <c r="G176" s="121">
        <v>167.0</v>
      </c>
      <c r="H176" s="42">
        <f t="shared" si="1"/>
        <v>1E+167</v>
      </c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</row>
    <row r="177">
      <c r="A177" s="114"/>
      <c r="B177" s="114"/>
      <c r="C177" s="114"/>
      <c r="D177" s="114"/>
      <c r="E177" s="114"/>
      <c r="F177" s="114"/>
      <c r="G177" s="121">
        <v>168.0</v>
      </c>
      <c r="H177" s="42">
        <f t="shared" si="1"/>
        <v>1E+168</v>
      </c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</row>
    <row r="178">
      <c r="A178" s="114"/>
      <c r="B178" s="114"/>
      <c r="C178" s="114"/>
      <c r="D178" s="114"/>
      <c r="E178" s="114"/>
      <c r="F178" s="114"/>
      <c r="G178" s="121">
        <v>169.0</v>
      </c>
      <c r="H178" s="42">
        <f t="shared" si="1"/>
        <v>1E+169</v>
      </c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</row>
    <row r="179">
      <c r="A179" s="114"/>
      <c r="B179" s="114"/>
      <c r="C179" s="114"/>
      <c r="D179" s="114"/>
      <c r="E179" s="114"/>
      <c r="F179" s="114"/>
      <c r="G179" s="121">
        <v>170.0</v>
      </c>
      <c r="H179" s="42">
        <f t="shared" si="1"/>
        <v>1E+170</v>
      </c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</row>
    <row r="180">
      <c r="A180" s="114"/>
      <c r="B180" s="114"/>
      <c r="C180" s="114"/>
      <c r="D180" s="114"/>
      <c r="E180" s="114"/>
      <c r="F180" s="114"/>
      <c r="G180" s="121">
        <v>171.0</v>
      </c>
      <c r="H180" s="42">
        <f t="shared" si="1"/>
        <v>1E+171</v>
      </c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</row>
    <row r="181">
      <c r="A181" s="114"/>
      <c r="B181" s="114"/>
      <c r="C181" s="114"/>
      <c r="D181" s="114"/>
      <c r="E181" s="114"/>
      <c r="F181" s="114"/>
      <c r="G181" s="121">
        <v>172.0</v>
      </c>
      <c r="H181" s="42">
        <f t="shared" si="1"/>
        <v>1E+172</v>
      </c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</row>
    <row r="182">
      <c r="A182" s="114"/>
      <c r="B182" s="114"/>
      <c r="C182" s="114"/>
      <c r="D182" s="114"/>
      <c r="E182" s="114"/>
      <c r="F182" s="114"/>
      <c r="G182" s="121">
        <v>173.0</v>
      </c>
      <c r="H182" s="42">
        <f t="shared" si="1"/>
        <v>1E+173</v>
      </c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</row>
    <row r="183">
      <c r="A183" s="114"/>
      <c r="B183" s="114"/>
      <c r="C183" s="114"/>
      <c r="D183" s="114"/>
      <c r="E183" s="114"/>
      <c r="F183" s="114"/>
      <c r="G183" s="121">
        <v>174.0</v>
      </c>
      <c r="H183" s="42">
        <f t="shared" si="1"/>
        <v>1E+174</v>
      </c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</row>
    <row r="184">
      <c r="A184" s="114"/>
      <c r="B184" s="114"/>
      <c r="C184" s="114"/>
      <c r="D184" s="114"/>
      <c r="E184" s="114"/>
      <c r="F184" s="114"/>
      <c r="G184" s="121">
        <v>175.0</v>
      </c>
      <c r="H184" s="42">
        <f t="shared" si="1"/>
        <v>1E+175</v>
      </c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</row>
    <row r="185">
      <c r="A185" s="114"/>
      <c r="B185" s="114"/>
      <c r="C185" s="114"/>
      <c r="D185" s="114"/>
      <c r="E185" s="114"/>
      <c r="F185" s="114"/>
      <c r="G185" s="121">
        <v>176.0</v>
      </c>
      <c r="H185" s="42">
        <f t="shared" si="1"/>
        <v>1E+176</v>
      </c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</row>
    <row r="186">
      <c r="A186" s="114"/>
      <c r="B186" s="114"/>
      <c r="C186" s="114"/>
      <c r="D186" s="114"/>
      <c r="E186" s="114"/>
      <c r="F186" s="114"/>
      <c r="G186" s="121">
        <v>177.0</v>
      </c>
      <c r="H186" s="42">
        <f t="shared" si="1"/>
        <v>1E+177</v>
      </c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</row>
    <row r="187">
      <c r="A187" s="114"/>
      <c r="B187" s="114"/>
      <c r="C187" s="114"/>
      <c r="D187" s="114"/>
      <c r="E187" s="114"/>
      <c r="F187" s="114"/>
      <c r="G187" s="121">
        <v>178.0</v>
      </c>
      <c r="H187" s="42">
        <f t="shared" si="1"/>
        <v>1E+178</v>
      </c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</row>
    <row r="188">
      <c r="A188" s="114"/>
      <c r="B188" s="114"/>
      <c r="C188" s="114"/>
      <c r="D188" s="114"/>
      <c r="E188" s="114"/>
      <c r="F188" s="114"/>
      <c r="G188" s="121">
        <v>179.0</v>
      </c>
      <c r="H188" s="42">
        <f t="shared" si="1"/>
        <v>1E+179</v>
      </c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</row>
    <row r="189">
      <c r="A189" s="114"/>
      <c r="B189" s="114"/>
      <c r="C189" s="114"/>
      <c r="D189" s="114"/>
      <c r="E189" s="114"/>
      <c r="F189" s="114"/>
      <c r="G189" s="121">
        <v>180.0</v>
      </c>
      <c r="H189" s="42">
        <f t="shared" si="1"/>
        <v>1E+180</v>
      </c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</row>
    <row r="190">
      <c r="A190" s="114"/>
      <c r="B190" s="114"/>
      <c r="C190" s="114"/>
      <c r="D190" s="114"/>
      <c r="E190" s="114"/>
      <c r="F190" s="114"/>
      <c r="G190" s="121">
        <v>181.0</v>
      </c>
      <c r="H190" s="42">
        <f t="shared" si="1"/>
        <v>1E+181</v>
      </c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</row>
    <row r="191">
      <c r="A191" s="114"/>
      <c r="B191" s="114"/>
      <c r="C191" s="114"/>
      <c r="D191" s="114"/>
      <c r="E191" s="114"/>
      <c r="F191" s="114"/>
      <c r="G191" s="121">
        <v>182.0</v>
      </c>
      <c r="H191" s="42">
        <f t="shared" si="1"/>
        <v>1E+182</v>
      </c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</row>
    <row r="192">
      <c r="A192" s="114"/>
      <c r="B192" s="114"/>
      <c r="C192" s="114"/>
      <c r="D192" s="114"/>
      <c r="E192" s="114"/>
      <c r="F192" s="114"/>
      <c r="G192" s="121">
        <v>183.0</v>
      </c>
      <c r="H192" s="42">
        <f t="shared" si="1"/>
        <v>1E+183</v>
      </c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</row>
    <row r="193">
      <c r="A193" s="114"/>
      <c r="B193" s="114"/>
      <c r="C193" s="114"/>
      <c r="D193" s="114"/>
      <c r="E193" s="114"/>
      <c r="F193" s="114"/>
      <c r="G193" s="121">
        <v>184.0</v>
      </c>
      <c r="H193" s="42">
        <f t="shared" si="1"/>
        <v>1E+184</v>
      </c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</row>
    <row r="194">
      <c r="A194" s="114"/>
      <c r="B194" s="114"/>
      <c r="C194" s="114"/>
      <c r="D194" s="114"/>
      <c r="E194" s="114"/>
      <c r="F194" s="114"/>
      <c r="G194" s="121">
        <v>185.0</v>
      </c>
      <c r="H194" s="42">
        <f t="shared" si="1"/>
        <v>1E+185</v>
      </c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</row>
    <row r="195">
      <c r="A195" s="114"/>
      <c r="B195" s="114"/>
      <c r="C195" s="114"/>
      <c r="D195" s="114"/>
      <c r="E195" s="114"/>
      <c r="F195" s="114"/>
      <c r="G195" s="121">
        <v>186.0</v>
      </c>
      <c r="H195" s="42">
        <f t="shared" si="1"/>
        <v>1E+186</v>
      </c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</row>
    <row r="196">
      <c r="A196" s="114"/>
      <c r="B196" s="114"/>
      <c r="C196" s="114"/>
      <c r="D196" s="114"/>
      <c r="E196" s="114"/>
      <c r="F196" s="114"/>
      <c r="G196" s="121">
        <v>187.0</v>
      </c>
      <c r="H196" s="42">
        <f t="shared" si="1"/>
        <v>1E+187</v>
      </c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</row>
    <row r="197">
      <c r="A197" s="114"/>
      <c r="B197" s="114"/>
      <c r="C197" s="114"/>
      <c r="D197" s="114"/>
      <c r="E197" s="114"/>
      <c r="F197" s="114"/>
      <c r="G197" s="121">
        <v>188.0</v>
      </c>
      <c r="H197" s="42">
        <f t="shared" si="1"/>
        <v>1E+188</v>
      </c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</row>
    <row r="198">
      <c r="A198" s="114"/>
      <c r="B198" s="114"/>
      <c r="C198" s="114"/>
      <c r="D198" s="114"/>
      <c r="E198" s="114"/>
      <c r="F198" s="114"/>
      <c r="G198" s="121">
        <v>189.0</v>
      </c>
      <c r="H198" s="42">
        <f t="shared" si="1"/>
        <v>1E+189</v>
      </c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</row>
    <row r="199">
      <c r="A199" s="114"/>
      <c r="B199" s="114"/>
      <c r="C199" s="114"/>
      <c r="D199" s="114"/>
      <c r="E199" s="114"/>
      <c r="F199" s="114"/>
      <c r="G199" s="121">
        <v>190.0</v>
      </c>
      <c r="H199" s="42">
        <f t="shared" si="1"/>
        <v>1E+190</v>
      </c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</row>
    <row r="200">
      <c r="A200" s="114"/>
      <c r="B200" s="114"/>
      <c r="C200" s="114"/>
      <c r="D200" s="114"/>
      <c r="E200" s="114"/>
      <c r="F200" s="114"/>
      <c r="G200" s="121">
        <v>191.0</v>
      </c>
      <c r="H200" s="42">
        <f t="shared" si="1"/>
        <v>1E+191</v>
      </c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</row>
    <row r="201">
      <c r="A201" s="114"/>
      <c r="B201" s="114"/>
      <c r="C201" s="114"/>
      <c r="D201" s="114"/>
      <c r="E201" s="114"/>
      <c r="F201" s="114"/>
      <c r="G201" s="121">
        <v>192.0</v>
      </c>
      <c r="H201" s="42">
        <f t="shared" si="1"/>
        <v>1E+192</v>
      </c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</row>
    <row r="202">
      <c r="A202" s="114"/>
      <c r="B202" s="114"/>
      <c r="C202" s="114"/>
      <c r="D202" s="114"/>
      <c r="E202" s="114"/>
      <c r="F202" s="114"/>
      <c r="G202" s="121">
        <v>193.0</v>
      </c>
      <c r="H202" s="42">
        <f t="shared" si="1"/>
        <v>1E+193</v>
      </c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</row>
    <row r="203">
      <c r="A203" s="114"/>
      <c r="B203" s="114"/>
      <c r="C203" s="114"/>
      <c r="D203" s="114"/>
      <c r="E203" s="114"/>
      <c r="F203" s="114"/>
      <c r="G203" s="121">
        <v>194.0</v>
      </c>
      <c r="H203" s="42">
        <f t="shared" si="1"/>
        <v>1E+194</v>
      </c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</row>
    <row r="204">
      <c r="A204" s="114"/>
      <c r="B204" s="114"/>
      <c r="C204" s="114"/>
      <c r="D204" s="114"/>
      <c r="E204" s="114"/>
      <c r="F204" s="114"/>
      <c r="G204" s="121">
        <v>195.0</v>
      </c>
      <c r="H204" s="42">
        <f t="shared" si="1"/>
        <v>1E+195</v>
      </c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</row>
    <row r="205">
      <c r="A205" s="114"/>
      <c r="B205" s="114"/>
      <c r="C205" s="114"/>
      <c r="D205" s="114"/>
      <c r="E205" s="114"/>
      <c r="F205" s="114"/>
      <c r="G205" s="121">
        <v>196.0</v>
      </c>
      <c r="H205" s="42">
        <f t="shared" si="1"/>
        <v>1E+196</v>
      </c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</row>
    <row r="206">
      <c r="A206" s="114"/>
      <c r="B206" s="114"/>
      <c r="C206" s="114"/>
      <c r="D206" s="114"/>
      <c r="E206" s="114"/>
      <c r="F206" s="114"/>
      <c r="G206" s="121">
        <v>197.0</v>
      </c>
      <c r="H206" s="42">
        <f t="shared" si="1"/>
        <v>1E+197</v>
      </c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</row>
    <row r="207">
      <c r="A207" s="114"/>
      <c r="B207" s="114"/>
      <c r="C207" s="114"/>
      <c r="D207" s="114"/>
      <c r="E207" s="114"/>
      <c r="F207" s="114"/>
      <c r="G207" s="121">
        <v>198.0</v>
      </c>
      <c r="H207" s="42">
        <f t="shared" si="1"/>
        <v>1E+198</v>
      </c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</row>
    <row r="208">
      <c r="A208" s="114"/>
      <c r="B208" s="114"/>
      <c r="C208" s="114"/>
      <c r="D208" s="114"/>
      <c r="E208" s="114"/>
      <c r="F208" s="114"/>
      <c r="G208" s="121">
        <v>199.0</v>
      </c>
      <c r="H208" s="42">
        <f t="shared" si="1"/>
        <v>1E+199</v>
      </c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</row>
    <row r="209">
      <c r="A209" s="114"/>
      <c r="B209" s="114"/>
      <c r="C209" s="114"/>
      <c r="D209" s="114"/>
      <c r="E209" s="114"/>
      <c r="F209" s="114"/>
      <c r="G209" s="121">
        <v>200.0</v>
      </c>
      <c r="H209" s="42">
        <f t="shared" si="1"/>
        <v>1E+200</v>
      </c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</row>
    <row r="210">
      <c r="A210" s="114"/>
      <c r="B210" s="114"/>
      <c r="C210" s="114"/>
      <c r="D210" s="114"/>
      <c r="E210" s="114"/>
      <c r="F210" s="114"/>
      <c r="G210" s="121">
        <v>201.0</v>
      </c>
      <c r="H210" s="42">
        <f t="shared" si="1"/>
        <v>1E+201</v>
      </c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</row>
    <row r="211">
      <c r="A211" s="114"/>
      <c r="B211" s="114"/>
      <c r="C211" s="114"/>
      <c r="D211" s="114"/>
      <c r="E211" s="114"/>
      <c r="F211" s="114"/>
      <c r="G211" s="121">
        <v>202.0</v>
      </c>
      <c r="H211" s="42">
        <f t="shared" si="1"/>
        <v>1E+202</v>
      </c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</row>
    <row r="212">
      <c r="A212" s="114"/>
      <c r="B212" s="114"/>
      <c r="C212" s="114"/>
      <c r="D212" s="114"/>
      <c r="E212" s="114"/>
      <c r="F212" s="114"/>
      <c r="G212" s="121">
        <v>203.0</v>
      </c>
      <c r="H212" s="42">
        <f t="shared" si="1"/>
        <v>1E+203</v>
      </c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</row>
    <row r="213">
      <c r="A213" s="114"/>
      <c r="B213" s="114"/>
      <c r="C213" s="114"/>
      <c r="D213" s="114"/>
      <c r="E213" s="114"/>
      <c r="F213" s="114"/>
      <c r="G213" s="121">
        <v>204.0</v>
      </c>
      <c r="H213" s="42">
        <f t="shared" si="1"/>
        <v>1E+204</v>
      </c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</row>
    <row r="214">
      <c r="A214" s="114"/>
      <c r="B214" s="114"/>
      <c r="C214" s="114"/>
      <c r="D214" s="114"/>
      <c r="E214" s="114"/>
      <c r="F214" s="114"/>
      <c r="G214" s="121">
        <v>205.0</v>
      </c>
      <c r="H214" s="42">
        <f t="shared" si="1"/>
        <v>1E+205</v>
      </c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</row>
    <row r="215">
      <c r="A215" s="114"/>
      <c r="B215" s="114"/>
      <c r="C215" s="114"/>
      <c r="D215" s="114"/>
      <c r="E215" s="114"/>
      <c r="F215" s="114"/>
      <c r="G215" s="121">
        <v>206.0</v>
      </c>
      <c r="H215" s="42">
        <f t="shared" si="1"/>
        <v>1E+206</v>
      </c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</row>
    <row r="216">
      <c r="A216" s="114"/>
      <c r="B216" s="114"/>
      <c r="C216" s="114"/>
      <c r="D216" s="114"/>
      <c r="E216" s="114"/>
      <c r="F216" s="114"/>
      <c r="G216" s="121">
        <v>207.0</v>
      </c>
      <c r="H216" s="42">
        <f t="shared" si="1"/>
        <v>1E+207</v>
      </c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</row>
    <row r="217">
      <c r="A217" s="114"/>
      <c r="B217" s="114"/>
      <c r="C217" s="114"/>
      <c r="D217" s="114"/>
      <c r="E217" s="114"/>
      <c r="F217" s="114"/>
      <c r="G217" s="121">
        <v>208.0</v>
      </c>
      <c r="H217" s="42">
        <f t="shared" si="1"/>
        <v>1E+208</v>
      </c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</row>
    <row r="218">
      <c r="A218" s="114"/>
      <c r="B218" s="114"/>
      <c r="C218" s="114"/>
      <c r="D218" s="114"/>
      <c r="E218" s="114"/>
      <c r="F218" s="114"/>
      <c r="G218" s="121">
        <v>209.0</v>
      </c>
      <c r="H218" s="42">
        <f t="shared" si="1"/>
        <v>1E+209</v>
      </c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</row>
    <row r="219">
      <c r="A219" s="114"/>
      <c r="B219" s="114"/>
      <c r="C219" s="114"/>
      <c r="D219" s="114"/>
      <c r="E219" s="114"/>
      <c r="F219" s="114"/>
      <c r="G219" s="121">
        <v>210.0</v>
      </c>
      <c r="H219" s="42">
        <f t="shared" si="1"/>
        <v>1E+210</v>
      </c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</row>
    <row r="220">
      <c r="A220" s="114"/>
      <c r="B220" s="114"/>
      <c r="C220" s="114"/>
      <c r="D220" s="114"/>
      <c r="E220" s="114"/>
      <c r="F220" s="114"/>
      <c r="G220" s="121">
        <v>211.0</v>
      </c>
      <c r="H220" s="42">
        <f t="shared" si="1"/>
        <v>1E+211</v>
      </c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</row>
    <row r="221">
      <c r="A221" s="114"/>
      <c r="B221" s="114"/>
      <c r="C221" s="114"/>
      <c r="D221" s="114"/>
      <c r="E221" s="114"/>
      <c r="F221" s="114"/>
      <c r="G221" s="121">
        <v>212.0</v>
      </c>
      <c r="H221" s="42">
        <f t="shared" si="1"/>
        <v>1E+212</v>
      </c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</row>
    <row r="222">
      <c r="A222" s="114"/>
      <c r="B222" s="114"/>
      <c r="C222" s="114"/>
      <c r="D222" s="114"/>
      <c r="E222" s="114"/>
      <c r="F222" s="114"/>
      <c r="G222" s="121">
        <v>213.0</v>
      </c>
      <c r="H222" s="42">
        <f t="shared" si="1"/>
        <v>1E+213</v>
      </c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</row>
    <row r="223">
      <c r="A223" s="114"/>
      <c r="B223" s="114"/>
      <c r="C223" s="114"/>
      <c r="D223" s="114"/>
      <c r="E223" s="114"/>
      <c r="F223" s="114"/>
      <c r="G223" s="121">
        <v>214.0</v>
      </c>
      <c r="H223" s="42">
        <f t="shared" si="1"/>
        <v>1E+214</v>
      </c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</row>
    <row r="224">
      <c r="A224" s="114"/>
      <c r="B224" s="114"/>
      <c r="C224" s="114"/>
      <c r="D224" s="114"/>
      <c r="E224" s="114"/>
      <c r="F224" s="114"/>
      <c r="G224" s="121">
        <v>215.0</v>
      </c>
      <c r="H224" s="42">
        <f t="shared" si="1"/>
        <v>1E+215</v>
      </c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</row>
    <row r="225">
      <c r="A225" s="114"/>
      <c r="B225" s="114"/>
      <c r="C225" s="114"/>
      <c r="D225" s="114"/>
      <c r="E225" s="114"/>
      <c r="F225" s="114"/>
      <c r="G225" s="121">
        <v>216.0</v>
      </c>
      <c r="H225" s="42">
        <f t="shared" si="1"/>
        <v>1E+216</v>
      </c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</row>
    <row r="226">
      <c r="A226" s="114"/>
      <c r="B226" s="114"/>
      <c r="C226" s="114"/>
      <c r="D226" s="114"/>
      <c r="E226" s="114"/>
      <c r="F226" s="114"/>
      <c r="G226" s="121">
        <v>217.0</v>
      </c>
      <c r="H226" s="42">
        <f t="shared" si="1"/>
        <v>1E+217</v>
      </c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</row>
    <row r="227">
      <c r="A227" s="114"/>
      <c r="B227" s="114"/>
      <c r="C227" s="114"/>
      <c r="D227" s="114"/>
      <c r="E227" s="114"/>
      <c r="F227" s="114"/>
      <c r="G227" s="121">
        <v>218.0</v>
      </c>
      <c r="H227" s="42">
        <f t="shared" si="1"/>
        <v>1E+218</v>
      </c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</row>
    <row r="228">
      <c r="A228" s="114"/>
      <c r="B228" s="114"/>
      <c r="C228" s="114"/>
      <c r="D228" s="114"/>
      <c r="E228" s="114"/>
      <c r="F228" s="114"/>
      <c r="G228" s="121">
        <v>219.0</v>
      </c>
      <c r="H228" s="42">
        <f t="shared" si="1"/>
        <v>1E+219</v>
      </c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</row>
    <row r="229">
      <c r="A229" s="114"/>
      <c r="B229" s="114"/>
      <c r="C229" s="114"/>
      <c r="D229" s="114"/>
      <c r="E229" s="114"/>
      <c r="F229" s="114"/>
      <c r="G229" s="121">
        <v>220.0</v>
      </c>
      <c r="H229" s="42">
        <f t="shared" si="1"/>
        <v>1E+220</v>
      </c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</row>
    <row r="230">
      <c r="A230" s="114"/>
      <c r="B230" s="114"/>
      <c r="C230" s="114"/>
      <c r="D230" s="114"/>
      <c r="E230" s="114"/>
      <c r="F230" s="114"/>
      <c r="G230" s="121">
        <v>221.0</v>
      </c>
      <c r="H230" s="42">
        <f t="shared" si="1"/>
        <v>1E+221</v>
      </c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</row>
    <row r="231">
      <c r="A231" s="114"/>
      <c r="B231" s="114"/>
      <c r="C231" s="114"/>
      <c r="D231" s="114"/>
      <c r="E231" s="114"/>
      <c r="F231" s="114"/>
      <c r="G231" s="121">
        <v>222.0</v>
      </c>
      <c r="H231" s="42">
        <f t="shared" si="1"/>
        <v>1E+222</v>
      </c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</row>
    <row r="232">
      <c r="A232" s="114"/>
      <c r="B232" s="114"/>
      <c r="C232" s="114"/>
      <c r="D232" s="114"/>
      <c r="E232" s="114"/>
      <c r="F232" s="114"/>
      <c r="G232" s="121">
        <v>223.0</v>
      </c>
      <c r="H232" s="42">
        <f t="shared" si="1"/>
        <v>1E+223</v>
      </c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</row>
    <row r="233">
      <c r="A233" s="114"/>
      <c r="B233" s="114"/>
      <c r="C233" s="114"/>
      <c r="D233" s="114"/>
      <c r="E233" s="114"/>
      <c r="F233" s="114"/>
      <c r="G233" s="121">
        <v>224.0</v>
      </c>
      <c r="H233" s="42">
        <f t="shared" si="1"/>
        <v>1E+224</v>
      </c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</row>
    <row r="234">
      <c r="A234" s="114"/>
      <c r="B234" s="114"/>
      <c r="C234" s="114"/>
      <c r="D234" s="114"/>
      <c r="E234" s="114"/>
      <c r="F234" s="114"/>
      <c r="G234" s="121">
        <v>225.0</v>
      </c>
      <c r="H234" s="42">
        <f t="shared" si="1"/>
        <v>1E+225</v>
      </c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</row>
    <row r="235">
      <c r="A235" s="114"/>
      <c r="B235" s="114"/>
      <c r="C235" s="114"/>
      <c r="D235" s="114"/>
      <c r="E235" s="114"/>
      <c r="F235" s="114"/>
      <c r="G235" s="121">
        <v>226.0</v>
      </c>
      <c r="H235" s="42">
        <f t="shared" si="1"/>
        <v>1E+226</v>
      </c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</row>
    <row r="236">
      <c r="A236" s="114"/>
      <c r="B236" s="114"/>
      <c r="C236" s="114"/>
      <c r="D236" s="114"/>
      <c r="E236" s="114"/>
      <c r="F236" s="114"/>
      <c r="G236" s="121">
        <v>227.0</v>
      </c>
      <c r="H236" s="42">
        <f t="shared" si="1"/>
        <v>1E+227</v>
      </c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</row>
    <row r="237">
      <c r="A237" s="114"/>
      <c r="B237" s="114"/>
      <c r="C237" s="114"/>
      <c r="D237" s="114"/>
      <c r="E237" s="114"/>
      <c r="F237" s="114"/>
      <c r="G237" s="121">
        <v>228.0</v>
      </c>
      <c r="H237" s="42">
        <f t="shared" si="1"/>
        <v>1E+228</v>
      </c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</row>
    <row r="238">
      <c r="A238" s="114"/>
      <c r="B238" s="114"/>
      <c r="C238" s="114"/>
      <c r="D238" s="114"/>
      <c r="E238" s="114"/>
      <c r="F238" s="114"/>
      <c r="G238" s="121">
        <v>229.0</v>
      </c>
      <c r="H238" s="42">
        <f t="shared" si="1"/>
        <v>1E+229</v>
      </c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</row>
    <row r="239">
      <c r="A239" s="114"/>
      <c r="B239" s="114"/>
      <c r="C239" s="114"/>
      <c r="D239" s="114"/>
      <c r="E239" s="114"/>
      <c r="F239" s="114"/>
      <c r="G239" s="121">
        <v>230.0</v>
      </c>
      <c r="H239" s="42">
        <f t="shared" si="1"/>
        <v>1E+230</v>
      </c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</row>
    <row r="240">
      <c r="A240" s="114"/>
      <c r="B240" s="114"/>
      <c r="C240" s="114"/>
      <c r="D240" s="114"/>
      <c r="E240" s="114"/>
      <c r="F240" s="114"/>
      <c r="G240" s="121">
        <v>231.0</v>
      </c>
      <c r="H240" s="42">
        <f t="shared" si="1"/>
        <v>1E+231</v>
      </c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</row>
    <row r="241">
      <c r="A241" s="114"/>
      <c r="B241" s="114"/>
      <c r="C241" s="114"/>
      <c r="D241" s="114"/>
      <c r="E241" s="114"/>
      <c r="F241" s="114"/>
      <c r="G241" s="121">
        <v>232.0</v>
      </c>
      <c r="H241" s="42">
        <f t="shared" si="1"/>
        <v>1E+232</v>
      </c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</row>
    <row r="242">
      <c r="A242" s="114"/>
      <c r="B242" s="114"/>
      <c r="C242" s="114"/>
      <c r="D242" s="114"/>
      <c r="E242" s="114"/>
      <c r="F242" s="114"/>
      <c r="G242" s="121">
        <v>233.0</v>
      </c>
      <c r="H242" s="42">
        <f t="shared" si="1"/>
        <v>1E+233</v>
      </c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</row>
    <row r="243">
      <c r="A243" s="114"/>
      <c r="B243" s="114"/>
      <c r="C243" s="114"/>
      <c r="D243" s="114"/>
      <c r="E243" s="114"/>
      <c r="F243" s="114"/>
      <c r="G243" s="121">
        <v>234.0</v>
      </c>
      <c r="H243" s="42">
        <f t="shared" si="1"/>
        <v>1E+234</v>
      </c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</row>
    <row r="244">
      <c r="A244" s="114"/>
      <c r="B244" s="114"/>
      <c r="C244" s="114"/>
      <c r="D244" s="114"/>
      <c r="E244" s="114"/>
      <c r="F244" s="114"/>
      <c r="G244" s="121">
        <v>235.0</v>
      </c>
      <c r="H244" s="42">
        <f t="shared" si="1"/>
        <v>1E+235</v>
      </c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</row>
    <row r="245">
      <c r="A245" s="114"/>
      <c r="B245" s="114"/>
      <c r="C245" s="114"/>
      <c r="D245" s="114"/>
      <c r="E245" s="114"/>
      <c r="F245" s="114"/>
      <c r="G245" s="121">
        <v>236.0</v>
      </c>
      <c r="H245" s="42">
        <f t="shared" si="1"/>
        <v>1E+236</v>
      </c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</row>
    <row r="246">
      <c r="A246" s="114"/>
      <c r="B246" s="114"/>
      <c r="C246" s="114"/>
      <c r="D246" s="114"/>
      <c r="E246" s="114"/>
      <c r="F246" s="114"/>
      <c r="G246" s="121">
        <v>237.0</v>
      </c>
      <c r="H246" s="42">
        <f t="shared" si="1"/>
        <v>1E+237</v>
      </c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</row>
    <row r="247">
      <c r="A247" s="114"/>
      <c r="B247" s="114"/>
      <c r="C247" s="114"/>
      <c r="D247" s="114"/>
      <c r="E247" s="114"/>
      <c r="F247" s="114"/>
      <c r="G247" s="121">
        <v>238.0</v>
      </c>
      <c r="H247" s="42">
        <f t="shared" si="1"/>
        <v>1E+238</v>
      </c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</row>
    <row r="248">
      <c r="A248" s="114"/>
      <c r="B248" s="114"/>
      <c r="C248" s="114"/>
      <c r="D248" s="114"/>
      <c r="E248" s="114"/>
      <c r="F248" s="114"/>
      <c r="G248" s="121">
        <v>239.0</v>
      </c>
      <c r="H248" s="42">
        <f t="shared" si="1"/>
        <v>1E+239</v>
      </c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</row>
    <row r="249">
      <c r="A249" s="114"/>
      <c r="B249" s="114"/>
      <c r="C249" s="114"/>
      <c r="D249" s="114"/>
      <c r="E249" s="114"/>
      <c r="F249" s="114"/>
      <c r="G249" s="121">
        <v>240.0</v>
      </c>
      <c r="H249" s="42">
        <f t="shared" si="1"/>
        <v>1E+240</v>
      </c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</row>
    <row r="250">
      <c r="A250" s="114"/>
      <c r="B250" s="114"/>
      <c r="C250" s="114"/>
      <c r="D250" s="114"/>
      <c r="E250" s="114"/>
      <c r="F250" s="114"/>
      <c r="G250" s="121">
        <v>241.0</v>
      </c>
      <c r="H250" s="42">
        <f t="shared" si="1"/>
        <v>1E+241</v>
      </c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</row>
    <row r="251">
      <c r="A251" s="114"/>
      <c r="B251" s="114"/>
      <c r="C251" s="114"/>
      <c r="D251" s="114"/>
      <c r="E251" s="114"/>
      <c r="F251" s="114"/>
      <c r="G251" s="121">
        <v>242.0</v>
      </c>
      <c r="H251" s="42">
        <f t="shared" si="1"/>
        <v>1E+242</v>
      </c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</row>
    <row r="252">
      <c r="A252" s="114"/>
      <c r="B252" s="114"/>
      <c r="C252" s="114"/>
      <c r="D252" s="114"/>
      <c r="E252" s="114"/>
      <c r="F252" s="114"/>
      <c r="G252" s="121">
        <v>243.0</v>
      </c>
      <c r="H252" s="42">
        <f t="shared" si="1"/>
        <v>1E+243</v>
      </c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</row>
    <row r="253">
      <c r="A253" s="114"/>
      <c r="B253" s="114"/>
      <c r="C253" s="114"/>
      <c r="D253" s="114"/>
      <c r="E253" s="114"/>
      <c r="F253" s="114"/>
      <c r="G253" s="121">
        <v>244.0</v>
      </c>
      <c r="H253" s="42">
        <f t="shared" si="1"/>
        <v>1E+244</v>
      </c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</row>
    <row r="254">
      <c r="A254" s="114"/>
      <c r="B254" s="114"/>
      <c r="C254" s="114"/>
      <c r="D254" s="114"/>
      <c r="E254" s="114"/>
      <c r="F254" s="114"/>
      <c r="G254" s="121">
        <v>245.0</v>
      </c>
      <c r="H254" s="42">
        <f t="shared" si="1"/>
        <v>1E+245</v>
      </c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</row>
    <row r="255">
      <c r="A255" s="114"/>
      <c r="B255" s="114"/>
      <c r="C255" s="114"/>
      <c r="D255" s="114"/>
      <c r="E255" s="114"/>
      <c r="F255" s="114"/>
      <c r="G255" s="121">
        <v>246.0</v>
      </c>
      <c r="H255" s="42">
        <f t="shared" si="1"/>
        <v>1E+246</v>
      </c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</row>
    <row r="256">
      <c r="A256" s="114"/>
      <c r="B256" s="114"/>
      <c r="C256" s="114"/>
      <c r="D256" s="114"/>
      <c r="E256" s="114"/>
      <c r="F256" s="114"/>
      <c r="G256" s="121">
        <v>247.0</v>
      </c>
      <c r="H256" s="42">
        <f t="shared" si="1"/>
        <v>1E+247</v>
      </c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</row>
    <row r="257">
      <c r="A257" s="114"/>
      <c r="B257" s="114"/>
      <c r="C257" s="114"/>
      <c r="D257" s="114"/>
      <c r="E257" s="114"/>
      <c r="F257" s="114"/>
      <c r="G257" s="121">
        <v>248.0</v>
      </c>
      <c r="H257" s="42">
        <f t="shared" si="1"/>
        <v>1E+248</v>
      </c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</row>
    <row r="258">
      <c r="A258" s="114"/>
      <c r="B258" s="114"/>
      <c r="C258" s="114"/>
      <c r="D258" s="114"/>
      <c r="E258" s="114"/>
      <c r="F258" s="114"/>
      <c r="G258" s="121">
        <v>249.0</v>
      </c>
      <c r="H258" s="42">
        <f t="shared" si="1"/>
        <v>1E+249</v>
      </c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</row>
    <row r="259">
      <c r="A259" s="114"/>
      <c r="B259" s="114"/>
      <c r="C259" s="114"/>
      <c r="D259" s="114"/>
      <c r="E259" s="114"/>
      <c r="F259" s="114"/>
      <c r="G259" s="121">
        <v>250.0</v>
      </c>
      <c r="H259" s="42">
        <f t="shared" si="1"/>
        <v>1E+250</v>
      </c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</row>
    <row r="260">
      <c r="A260" s="114"/>
      <c r="B260" s="114"/>
      <c r="C260" s="114"/>
      <c r="D260" s="114"/>
      <c r="E260" s="114"/>
      <c r="F260" s="114"/>
      <c r="G260" s="121">
        <v>251.0</v>
      </c>
      <c r="H260" s="42">
        <f t="shared" si="1"/>
        <v>1E+251</v>
      </c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</row>
    <row r="261">
      <c r="A261" s="114"/>
      <c r="B261" s="114"/>
      <c r="C261" s="114"/>
      <c r="D261" s="114"/>
      <c r="E261" s="114"/>
      <c r="F261" s="114"/>
      <c r="G261" s="121">
        <v>252.0</v>
      </c>
      <c r="H261" s="42">
        <f t="shared" si="1"/>
        <v>1E+252</v>
      </c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</row>
    <row r="262">
      <c r="A262" s="114"/>
      <c r="B262" s="114"/>
      <c r="C262" s="114"/>
      <c r="D262" s="114"/>
      <c r="E262" s="114"/>
      <c r="F262" s="114"/>
      <c r="G262" s="121">
        <v>253.0</v>
      </c>
      <c r="H262" s="42">
        <f t="shared" si="1"/>
        <v>1E+253</v>
      </c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</row>
    <row r="263">
      <c r="A263" s="114"/>
      <c r="B263" s="114"/>
      <c r="C263" s="114"/>
      <c r="D263" s="114"/>
      <c r="E263" s="114"/>
      <c r="F263" s="114"/>
      <c r="G263" s="121">
        <v>254.0</v>
      </c>
      <c r="H263" s="42">
        <f t="shared" si="1"/>
        <v>1E+254</v>
      </c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</row>
    <row r="264">
      <c r="A264" s="114"/>
      <c r="B264" s="114"/>
      <c r="C264" s="114"/>
      <c r="D264" s="114"/>
      <c r="E264" s="114"/>
      <c r="F264" s="114"/>
      <c r="G264" s="121">
        <v>255.0</v>
      </c>
      <c r="H264" s="42">
        <f t="shared" si="1"/>
        <v>1E+255</v>
      </c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</row>
    <row r="265">
      <c r="A265" s="114"/>
      <c r="B265" s="114"/>
      <c r="C265" s="114"/>
      <c r="D265" s="114"/>
      <c r="E265" s="114"/>
      <c r="F265" s="114"/>
      <c r="G265" s="121">
        <v>256.0</v>
      </c>
      <c r="H265" s="42">
        <f t="shared" si="1"/>
        <v>1E+256</v>
      </c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</row>
    <row r="266">
      <c r="A266" s="114"/>
      <c r="B266" s="114"/>
      <c r="C266" s="114"/>
      <c r="D266" s="114"/>
      <c r="E266" s="114"/>
      <c r="F266" s="114"/>
      <c r="G266" s="121">
        <v>257.0</v>
      </c>
      <c r="H266" s="42">
        <f t="shared" si="1"/>
        <v>1E+257</v>
      </c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</row>
    <row r="267">
      <c r="A267" s="114"/>
      <c r="B267" s="114"/>
      <c r="C267" s="114"/>
      <c r="D267" s="114"/>
      <c r="E267" s="114"/>
      <c r="F267" s="114"/>
      <c r="G267" s="121">
        <v>258.0</v>
      </c>
      <c r="H267" s="42">
        <f t="shared" si="1"/>
        <v>1E+258</v>
      </c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</row>
    <row r="268">
      <c r="A268" s="114"/>
      <c r="B268" s="114"/>
      <c r="C268" s="114"/>
      <c r="D268" s="114"/>
      <c r="E268" s="114"/>
      <c r="F268" s="114"/>
      <c r="G268" s="121">
        <v>259.0</v>
      </c>
      <c r="H268" s="42">
        <f t="shared" si="1"/>
        <v>1E+259</v>
      </c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</row>
    <row r="269">
      <c r="A269" s="114"/>
      <c r="B269" s="114"/>
      <c r="C269" s="114"/>
      <c r="D269" s="114"/>
      <c r="E269" s="114"/>
      <c r="F269" s="114"/>
      <c r="G269" s="121">
        <v>260.0</v>
      </c>
      <c r="H269" s="42">
        <f t="shared" si="1"/>
        <v>1E+260</v>
      </c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</row>
    <row r="270">
      <c r="A270" s="114"/>
      <c r="B270" s="114"/>
      <c r="C270" s="114"/>
      <c r="D270" s="114"/>
      <c r="E270" s="114"/>
      <c r="F270" s="114"/>
      <c r="G270" s="121">
        <v>261.0</v>
      </c>
      <c r="H270" s="42">
        <f t="shared" si="1"/>
        <v>1E+261</v>
      </c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</row>
    <row r="271">
      <c r="A271" s="114"/>
      <c r="B271" s="114"/>
      <c r="C271" s="114"/>
      <c r="D271" s="114"/>
      <c r="E271" s="114"/>
      <c r="F271" s="114"/>
      <c r="G271" s="121">
        <v>262.0</v>
      </c>
      <c r="H271" s="42">
        <f t="shared" si="1"/>
        <v>1E+262</v>
      </c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</row>
    <row r="272">
      <c r="A272" s="114"/>
      <c r="B272" s="114"/>
      <c r="C272" s="114"/>
      <c r="D272" s="114"/>
      <c r="E272" s="114"/>
      <c r="F272" s="114"/>
      <c r="G272" s="121">
        <v>263.0</v>
      </c>
      <c r="H272" s="42">
        <f t="shared" si="1"/>
        <v>1E+263</v>
      </c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</row>
    <row r="273">
      <c r="A273" s="114"/>
      <c r="B273" s="114"/>
      <c r="C273" s="114"/>
      <c r="D273" s="114"/>
      <c r="E273" s="114"/>
      <c r="F273" s="114"/>
      <c r="G273" s="121">
        <v>264.0</v>
      </c>
      <c r="H273" s="42">
        <f t="shared" si="1"/>
        <v>1E+264</v>
      </c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</row>
    <row r="274">
      <c r="A274" s="114"/>
      <c r="B274" s="114"/>
      <c r="C274" s="114"/>
      <c r="D274" s="114"/>
      <c r="E274" s="114"/>
      <c r="F274" s="114"/>
      <c r="G274" s="121">
        <v>265.0</v>
      </c>
      <c r="H274" s="42">
        <f t="shared" si="1"/>
        <v>1E+265</v>
      </c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</row>
    <row r="275">
      <c r="A275" s="114"/>
      <c r="B275" s="114"/>
      <c r="C275" s="114"/>
      <c r="D275" s="114"/>
      <c r="E275" s="114"/>
      <c r="F275" s="114"/>
      <c r="G275" s="121">
        <v>266.0</v>
      </c>
      <c r="H275" s="42">
        <f t="shared" si="1"/>
        <v>1E+266</v>
      </c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</row>
    <row r="276">
      <c r="A276" s="114"/>
      <c r="B276" s="114"/>
      <c r="C276" s="114"/>
      <c r="D276" s="114"/>
      <c r="E276" s="114"/>
      <c r="F276" s="114"/>
      <c r="G276" s="121">
        <v>267.0</v>
      </c>
      <c r="H276" s="42">
        <f t="shared" si="1"/>
        <v>1E+267</v>
      </c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</row>
    <row r="277">
      <c r="A277" s="114"/>
      <c r="B277" s="114"/>
      <c r="C277" s="114"/>
      <c r="D277" s="114"/>
      <c r="E277" s="114"/>
      <c r="F277" s="114"/>
      <c r="G277" s="121">
        <v>268.0</v>
      </c>
      <c r="H277" s="42">
        <f t="shared" si="1"/>
        <v>1E+268</v>
      </c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</row>
    <row r="278">
      <c r="A278" s="114"/>
      <c r="B278" s="114"/>
      <c r="C278" s="114"/>
      <c r="D278" s="114"/>
      <c r="E278" s="114"/>
      <c r="F278" s="114"/>
      <c r="G278" s="121">
        <v>269.0</v>
      </c>
      <c r="H278" s="42">
        <f t="shared" si="1"/>
        <v>1E+269</v>
      </c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</row>
    <row r="279">
      <c r="A279" s="114"/>
      <c r="B279" s="114"/>
      <c r="C279" s="114"/>
      <c r="D279" s="114"/>
      <c r="E279" s="114"/>
      <c r="F279" s="114"/>
      <c r="G279" s="121">
        <v>270.0</v>
      </c>
      <c r="H279" s="42">
        <f t="shared" si="1"/>
        <v>1E+270</v>
      </c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</row>
    <row r="280">
      <c r="A280" s="114"/>
      <c r="B280" s="114"/>
      <c r="C280" s="114"/>
      <c r="D280" s="114"/>
      <c r="E280" s="114"/>
      <c r="F280" s="114"/>
      <c r="G280" s="121">
        <v>271.0</v>
      </c>
      <c r="H280" s="42">
        <f t="shared" si="1"/>
        <v>1E+271</v>
      </c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</row>
    <row r="281">
      <c r="A281" s="114"/>
      <c r="B281" s="114"/>
      <c r="C281" s="114"/>
      <c r="D281" s="114"/>
      <c r="E281" s="114"/>
      <c r="F281" s="114"/>
      <c r="G281" s="121">
        <v>272.0</v>
      </c>
      <c r="H281" s="42">
        <f t="shared" si="1"/>
        <v>1E+272</v>
      </c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</row>
    <row r="282">
      <c r="A282" s="114"/>
      <c r="B282" s="114"/>
      <c r="C282" s="114"/>
      <c r="D282" s="114"/>
      <c r="E282" s="114"/>
      <c r="F282" s="114"/>
      <c r="G282" s="121">
        <v>273.0</v>
      </c>
      <c r="H282" s="42">
        <f t="shared" si="1"/>
        <v>1E+273</v>
      </c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</row>
    <row r="283">
      <c r="A283" s="114"/>
      <c r="B283" s="114"/>
      <c r="C283" s="114"/>
      <c r="D283" s="114"/>
      <c r="E283" s="114"/>
      <c r="F283" s="114"/>
      <c r="G283" s="121">
        <v>274.0</v>
      </c>
      <c r="H283" s="42">
        <f t="shared" si="1"/>
        <v>1E+274</v>
      </c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</row>
    <row r="284">
      <c r="A284" s="114"/>
      <c r="B284" s="114"/>
      <c r="C284" s="114"/>
      <c r="D284" s="114"/>
      <c r="E284" s="114"/>
      <c r="F284" s="114"/>
      <c r="G284" s="121">
        <v>275.0</v>
      </c>
      <c r="H284" s="42">
        <f t="shared" si="1"/>
        <v>1E+275</v>
      </c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</row>
    <row r="285">
      <c r="A285" s="114"/>
      <c r="B285" s="114"/>
      <c r="C285" s="114"/>
      <c r="D285" s="114"/>
      <c r="E285" s="114"/>
      <c r="F285" s="114"/>
      <c r="G285" s="121">
        <v>276.0</v>
      </c>
      <c r="H285" s="42">
        <f t="shared" si="1"/>
        <v>1E+276</v>
      </c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</row>
    <row r="286">
      <c r="A286" s="114"/>
      <c r="B286" s="114"/>
      <c r="C286" s="114"/>
      <c r="D286" s="114"/>
      <c r="E286" s="114"/>
      <c r="F286" s="114"/>
      <c r="G286" s="121">
        <v>277.0</v>
      </c>
      <c r="H286" s="42">
        <f t="shared" si="1"/>
        <v>1E+277</v>
      </c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</row>
    <row r="287">
      <c r="A287" s="114"/>
      <c r="B287" s="114"/>
      <c r="C287" s="114"/>
      <c r="D287" s="114"/>
      <c r="E287" s="114"/>
      <c r="F287" s="114"/>
      <c r="G287" s="121">
        <v>278.0</v>
      </c>
      <c r="H287" s="42">
        <f t="shared" si="1"/>
        <v>1E+278</v>
      </c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</row>
    <row r="288">
      <c r="A288" s="114"/>
      <c r="B288" s="114"/>
      <c r="C288" s="114"/>
      <c r="D288" s="114"/>
      <c r="E288" s="114"/>
      <c r="F288" s="114"/>
      <c r="G288" s="121">
        <v>279.0</v>
      </c>
      <c r="H288" s="42">
        <f t="shared" si="1"/>
        <v>1E+279</v>
      </c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</row>
    <row r="289">
      <c r="A289" s="114"/>
      <c r="B289" s="114"/>
      <c r="C289" s="114"/>
      <c r="D289" s="114"/>
      <c r="E289" s="114"/>
      <c r="F289" s="114"/>
      <c r="G289" s="121">
        <v>280.0</v>
      </c>
      <c r="H289" s="42">
        <f t="shared" si="1"/>
        <v>1E+280</v>
      </c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</row>
    <row r="290">
      <c r="A290" s="114"/>
      <c r="B290" s="114"/>
      <c r="C290" s="114"/>
      <c r="D290" s="114"/>
      <c r="E290" s="114"/>
      <c r="F290" s="114"/>
      <c r="G290" s="121">
        <v>281.0</v>
      </c>
      <c r="H290" s="42">
        <f t="shared" si="1"/>
        <v>1E+281</v>
      </c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</row>
    <row r="291">
      <c r="A291" s="114"/>
      <c r="B291" s="114"/>
      <c r="C291" s="114"/>
      <c r="D291" s="114"/>
      <c r="E291" s="114"/>
      <c r="F291" s="114"/>
      <c r="G291" s="121">
        <v>282.0</v>
      </c>
      <c r="H291" s="42">
        <f t="shared" si="1"/>
        <v>1E+282</v>
      </c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</row>
    <row r="292">
      <c r="A292" s="114"/>
      <c r="B292" s="114"/>
      <c r="C292" s="114"/>
      <c r="D292" s="114"/>
      <c r="E292" s="114"/>
      <c r="F292" s="114"/>
      <c r="G292" s="121">
        <v>283.0</v>
      </c>
      <c r="H292" s="42">
        <f t="shared" si="1"/>
        <v>1E+283</v>
      </c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</row>
    <row r="293">
      <c r="A293" s="114"/>
      <c r="B293" s="114"/>
      <c r="C293" s="114"/>
      <c r="D293" s="114"/>
      <c r="E293" s="114"/>
      <c r="F293" s="114"/>
      <c r="G293" s="121">
        <v>284.0</v>
      </c>
      <c r="H293" s="42">
        <f t="shared" si="1"/>
        <v>1E+284</v>
      </c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</row>
    <row r="294">
      <c r="A294" s="114"/>
      <c r="B294" s="114"/>
      <c r="C294" s="114"/>
      <c r="D294" s="114"/>
      <c r="E294" s="114"/>
      <c r="F294" s="114"/>
      <c r="G294" s="121">
        <v>285.0</v>
      </c>
      <c r="H294" s="42">
        <f t="shared" si="1"/>
        <v>1E+285</v>
      </c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</row>
    <row r="295">
      <c r="A295" s="114"/>
      <c r="B295" s="114"/>
      <c r="C295" s="114"/>
      <c r="D295" s="114"/>
      <c r="E295" s="114"/>
      <c r="F295" s="114"/>
      <c r="G295" s="121">
        <v>286.0</v>
      </c>
      <c r="H295" s="42">
        <f t="shared" si="1"/>
        <v>1E+286</v>
      </c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</row>
    <row r="296">
      <c r="A296" s="114"/>
      <c r="B296" s="114"/>
      <c r="C296" s="114"/>
      <c r="D296" s="114"/>
      <c r="E296" s="114"/>
      <c r="F296" s="114"/>
      <c r="G296" s="121">
        <v>287.0</v>
      </c>
      <c r="H296" s="42">
        <f t="shared" si="1"/>
        <v>1E+287</v>
      </c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</row>
    <row r="297">
      <c r="A297" s="114"/>
      <c r="B297" s="114"/>
      <c r="C297" s="114"/>
      <c r="D297" s="114"/>
      <c r="E297" s="114"/>
      <c r="F297" s="114"/>
      <c r="G297" s="121">
        <v>288.0</v>
      </c>
      <c r="H297" s="42">
        <f t="shared" si="1"/>
        <v>1E+288</v>
      </c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</row>
    <row r="298">
      <c r="A298" s="114"/>
      <c r="B298" s="114"/>
      <c r="C298" s="114"/>
      <c r="D298" s="114"/>
      <c r="E298" s="114"/>
      <c r="F298" s="114"/>
      <c r="G298" s="121">
        <v>289.0</v>
      </c>
      <c r="H298" s="42">
        <f t="shared" si="1"/>
        <v>1E+289</v>
      </c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</row>
    <row r="299">
      <c r="A299" s="114"/>
      <c r="B299" s="114"/>
      <c r="C299" s="114"/>
      <c r="D299" s="114"/>
      <c r="E299" s="114"/>
      <c r="F299" s="114"/>
      <c r="G299" s="121">
        <v>290.0</v>
      </c>
      <c r="H299" s="42">
        <f t="shared" si="1"/>
        <v>1E+290</v>
      </c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</row>
    <row r="300">
      <c r="A300" s="114"/>
      <c r="B300" s="114"/>
      <c r="C300" s="114"/>
      <c r="D300" s="114"/>
      <c r="E300" s="114"/>
      <c r="F300" s="114"/>
      <c r="G300" s="121">
        <v>291.0</v>
      </c>
      <c r="H300" s="42">
        <f t="shared" si="1"/>
        <v>1E+291</v>
      </c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</row>
    <row r="301">
      <c r="A301" s="114"/>
      <c r="B301" s="114"/>
      <c r="C301" s="114"/>
      <c r="D301" s="114"/>
      <c r="E301" s="114"/>
      <c r="F301" s="114"/>
      <c r="G301" s="121">
        <v>292.0</v>
      </c>
      <c r="H301" s="42">
        <f t="shared" si="1"/>
        <v>1E+292</v>
      </c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</row>
    <row r="302">
      <c r="A302" s="114"/>
      <c r="B302" s="114"/>
      <c r="C302" s="114"/>
      <c r="D302" s="114"/>
      <c r="E302" s="114"/>
      <c r="F302" s="114"/>
      <c r="G302" s="121">
        <v>293.0</v>
      </c>
      <c r="H302" s="42">
        <f t="shared" si="1"/>
        <v>1E+293</v>
      </c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</row>
    <row r="303">
      <c r="A303" s="114"/>
      <c r="B303" s="114"/>
      <c r="C303" s="114"/>
      <c r="D303" s="114"/>
      <c r="E303" s="114"/>
      <c r="F303" s="114"/>
      <c r="G303" s="121">
        <v>294.0</v>
      </c>
      <c r="H303" s="42">
        <f t="shared" si="1"/>
        <v>1E+294</v>
      </c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</row>
    <row r="304">
      <c r="A304" s="114"/>
      <c r="B304" s="114"/>
      <c r="C304" s="114"/>
      <c r="D304" s="114"/>
      <c r="E304" s="114"/>
      <c r="F304" s="114"/>
      <c r="G304" s="121">
        <v>295.0</v>
      </c>
      <c r="H304" s="42">
        <f t="shared" si="1"/>
        <v>1E+295</v>
      </c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</row>
    <row r="305">
      <c r="A305" s="114"/>
      <c r="B305" s="114"/>
      <c r="C305" s="114"/>
      <c r="D305" s="114"/>
      <c r="E305" s="114"/>
      <c r="F305" s="114"/>
      <c r="G305" s="121">
        <v>296.0</v>
      </c>
      <c r="H305" s="42">
        <f t="shared" si="1"/>
        <v>1E+296</v>
      </c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</row>
    <row r="306">
      <c r="A306" s="114"/>
      <c r="B306" s="114"/>
      <c r="C306" s="114"/>
      <c r="D306" s="114"/>
      <c r="E306" s="114"/>
      <c r="F306" s="114"/>
      <c r="G306" s="121">
        <v>297.0</v>
      </c>
      <c r="H306" s="42">
        <f t="shared" si="1"/>
        <v>1E+297</v>
      </c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</row>
    <row r="307">
      <c r="A307" s="114"/>
      <c r="B307" s="114"/>
      <c r="C307" s="114"/>
      <c r="D307" s="114"/>
      <c r="E307" s="114"/>
      <c r="F307" s="114"/>
      <c r="G307" s="121">
        <v>298.0</v>
      </c>
      <c r="H307" s="42">
        <f t="shared" si="1"/>
        <v>1E+298</v>
      </c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</row>
    <row r="308">
      <c r="A308" s="114"/>
      <c r="B308" s="114"/>
      <c r="C308" s="114"/>
      <c r="D308" s="114"/>
      <c r="E308" s="114"/>
      <c r="F308" s="114"/>
      <c r="G308" s="121">
        <v>299.0</v>
      </c>
      <c r="H308" s="42">
        <f t="shared" si="1"/>
        <v>1E+299</v>
      </c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</row>
    <row r="309">
      <c r="A309" s="114"/>
      <c r="B309" s="114"/>
      <c r="C309" s="114"/>
      <c r="D309" s="114"/>
      <c r="E309" s="114"/>
      <c r="F309" s="114"/>
      <c r="G309" s="121">
        <v>300.0</v>
      </c>
      <c r="H309" s="42">
        <f t="shared" si="1"/>
        <v>1E+300</v>
      </c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</row>
    <row r="310">
      <c r="A310" s="114"/>
      <c r="B310" s="114"/>
      <c r="C310" s="114"/>
      <c r="D310" s="114"/>
      <c r="E310" s="114"/>
      <c r="F310" s="114"/>
      <c r="G310" s="121">
        <v>301.0</v>
      </c>
      <c r="H310" s="42">
        <f t="shared" si="1"/>
        <v>1E+301</v>
      </c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</row>
    <row r="311">
      <c r="A311" s="114"/>
      <c r="B311" s="114"/>
      <c r="C311" s="114"/>
      <c r="D311" s="114"/>
      <c r="E311" s="114"/>
      <c r="F311" s="114"/>
      <c r="G311" s="121">
        <v>302.0</v>
      </c>
      <c r="H311" s="42">
        <f t="shared" si="1"/>
        <v>1E+302</v>
      </c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</row>
    <row r="312">
      <c r="A312" s="114"/>
      <c r="B312" s="114"/>
      <c r="C312" s="114"/>
      <c r="D312" s="114"/>
      <c r="E312" s="114"/>
      <c r="F312" s="114"/>
      <c r="G312" s="121">
        <v>303.0</v>
      </c>
      <c r="H312" s="42">
        <f t="shared" si="1"/>
        <v>1E+303</v>
      </c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</row>
    <row r="313">
      <c r="A313" s="114"/>
      <c r="B313" s="114"/>
      <c r="C313" s="114"/>
      <c r="D313" s="114"/>
      <c r="E313" s="114"/>
      <c r="F313" s="114"/>
      <c r="G313" s="121">
        <v>304.0</v>
      </c>
      <c r="H313" s="42">
        <f t="shared" si="1"/>
        <v>1E+304</v>
      </c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</row>
    <row r="314">
      <c r="A314" s="114"/>
      <c r="B314" s="114"/>
      <c r="C314" s="114"/>
      <c r="D314" s="114"/>
      <c r="E314" s="114"/>
      <c r="F314" s="114"/>
      <c r="G314" s="121">
        <v>305.0</v>
      </c>
      <c r="H314" s="42">
        <f t="shared" si="1"/>
        <v>1E+305</v>
      </c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</row>
    <row r="315">
      <c r="A315" s="114"/>
      <c r="B315" s="114"/>
      <c r="C315" s="114"/>
      <c r="D315" s="114"/>
      <c r="E315" s="114"/>
      <c r="F315" s="114"/>
      <c r="G315" s="121">
        <v>306.0</v>
      </c>
      <c r="H315" s="42">
        <f t="shared" si="1"/>
        <v>1E+306</v>
      </c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</row>
    <row r="316">
      <c r="A316" s="114"/>
      <c r="B316" s="114"/>
      <c r="C316" s="114"/>
      <c r="D316" s="114"/>
      <c r="E316" s="114"/>
      <c r="F316" s="114"/>
      <c r="G316" s="121">
        <v>307.0</v>
      </c>
      <c r="H316" s="42">
        <f t="shared" si="1"/>
        <v>1E+307</v>
      </c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</row>
    <row r="317">
      <c r="A317" s="114"/>
      <c r="B317" s="114"/>
      <c r="C317" s="114"/>
      <c r="D317" s="114"/>
      <c r="E317" s="114"/>
      <c r="F317" s="114"/>
      <c r="G317" s="121">
        <v>308.0</v>
      </c>
      <c r="H317" s="42">
        <f t="shared" si="1"/>
        <v>1E+308</v>
      </c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</row>
    <row r="318">
      <c r="A318" s="114"/>
      <c r="B318" s="114"/>
      <c r="C318" s="114"/>
      <c r="D318" s="114"/>
      <c r="E318" s="114"/>
      <c r="F318" s="114"/>
      <c r="G318" s="121"/>
      <c r="H318" s="42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</row>
    <row r="319">
      <c r="A319" s="114"/>
      <c r="B319" s="114"/>
      <c r="C319" s="114"/>
      <c r="D319" s="114"/>
      <c r="E319" s="114"/>
      <c r="F319" s="114"/>
      <c r="G319" s="121"/>
      <c r="H319" s="42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</row>
    <row r="320">
      <c r="A320" s="114"/>
      <c r="B320" s="114"/>
      <c r="C320" s="114"/>
      <c r="D320" s="114"/>
      <c r="E320" s="114"/>
      <c r="F320" s="114"/>
      <c r="G320" s="121"/>
      <c r="H320" s="42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</row>
    <row r="321">
      <c r="A321" s="114"/>
      <c r="B321" s="114"/>
      <c r="C321" s="114"/>
      <c r="D321" s="114"/>
      <c r="E321" s="114"/>
      <c r="F321" s="114"/>
      <c r="G321" s="121"/>
      <c r="H321" s="42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</row>
    <row r="322">
      <c r="A322" s="114"/>
      <c r="B322" s="114"/>
      <c r="C322" s="114"/>
      <c r="D322" s="114"/>
      <c r="E322" s="114"/>
      <c r="F322" s="114"/>
      <c r="G322" s="121"/>
      <c r="H322" s="42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</row>
    <row r="323">
      <c r="A323" s="114"/>
      <c r="B323" s="114"/>
      <c r="C323" s="114"/>
      <c r="D323" s="114"/>
      <c r="E323" s="114"/>
      <c r="F323" s="114"/>
      <c r="G323" s="121"/>
      <c r="H323" s="42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</row>
    <row r="324">
      <c r="A324" s="114"/>
      <c r="B324" s="114"/>
      <c r="C324" s="114"/>
      <c r="D324" s="114"/>
      <c r="E324" s="114"/>
      <c r="F324" s="114"/>
      <c r="G324" s="121"/>
      <c r="H324" s="42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</row>
    <row r="325">
      <c r="A325" s="114"/>
      <c r="B325" s="114"/>
      <c r="C325" s="114"/>
      <c r="D325" s="114"/>
      <c r="E325" s="114"/>
      <c r="F325" s="114"/>
      <c r="G325" s="121"/>
      <c r="H325" s="42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</row>
    <row r="326">
      <c r="A326" s="114"/>
      <c r="B326" s="114"/>
      <c r="C326" s="114"/>
      <c r="D326" s="114"/>
      <c r="E326" s="114"/>
      <c r="F326" s="114"/>
      <c r="G326" s="121"/>
      <c r="H326" s="42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</row>
    <row r="327">
      <c r="A327" s="114"/>
      <c r="B327" s="114"/>
      <c r="C327" s="114"/>
      <c r="D327" s="114"/>
      <c r="E327" s="114"/>
      <c r="F327" s="114"/>
      <c r="G327" s="121"/>
      <c r="H327" s="42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</row>
    <row r="328">
      <c r="A328" s="114"/>
      <c r="B328" s="114"/>
      <c r="C328" s="114"/>
      <c r="D328" s="114"/>
      <c r="E328" s="114"/>
      <c r="F328" s="114"/>
      <c r="G328" s="121"/>
      <c r="H328" s="42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</row>
    <row r="329">
      <c r="A329" s="114"/>
      <c r="B329" s="114"/>
      <c r="C329" s="114"/>
      <c r="D329" s="114"/>
      <c r="E329" s="114"/>
      <c r="F329" s="114"/>
      <c r="G329" s="121"/>
      <c r="H329" s="42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</row>
    <row r="330">
      <c r="A330" s="114"/>
      <c r="B330" s="114"/>
      <c r="C330" s="114"/>
      <c r="D330" s="114"/>
      <c r="E330" s="114"/>
      <c r="F330" s="114"/>
      <c r="G330" s="121"/>
      <c r="H330" s="42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</row>
    <row r="331">
      <c r="A331" s="114"/>
      <c r="B331" s="114"/>
      <c r="C331" s="114"/>
      <c r="D331" s="114"/>
      <c r="E331" s="114"/>
      <c r="F331" s="114"/>
      <c r="G331" s="121"/>
      <c r="H331" s="42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</row>
    <row r="332">
      <c r="A332" s="114"/>
      <c r="B332" s="114"/>
      <c r="C332" s="114"/>
      <c r="D332" s="114"/>
      <c r="E332" s="114"/>
      <c r="F332" s="114"/>
      <c r="G332" s="121"/>
      <c r="H332" s="42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</row>
    <row r="333">
      <c r="A333" s="114"/>
      <c r="B333" s="114"/>
      <c r="C333" s="114"/>
      <c r="D333" s="114"/>
      <c r="E333" s="114"/>
      <c r="F333" s="114"/>
      <c r="G333" s="121"/>
      <c r="H333" s="42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</row>
    <row r="334">
      <c r="A334" s="114"/>
      <c r="B334" s="114"/>
      <c r="C334" s="114"/>
      <c r="D334" s="114"/>
      <c r="E334" s="114"/>
      <c r="F334" s="114"/>
      <c r="G334" s="121"/>
      <c r="H334" s="42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</row>
    <row r="335">
      <c r="A335" s="114"/>
      <c r="B335" s="114"/>
      <c r="C335" s="114"/>
      <c r="D335" s="114"/>
      <c r="E335" s="114"/>
      <c r="F335" s="114"/>
      <c r="G335" s="121"/>
      <c r="H335" s="42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</row>
    <row r="336">
      <c r="A336" s="114"/>
      <c r="B336" s="114"/>
      <c r="C336" s="114"/>
      <c r="D336" s="114"/>
      <c r="E336" s="114"/>
      <c r="F336" s="114"/>
      <c r="G336" s="121"/>
      <c r="H336" s="42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</row>
    <row r="337">
      <c r="A337" s="114"/>
      <c r="B337" s="114"/>
      <c r="C337" s="114"/>
      <c r="D337" s="114"/>
      <c r="E337" s="114"/>
      <c r="F337" s="114"/>
      <c r="G337" s="121"/>
      <c r="H337" s="42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</row>
    <row r="338">
      <c r="A338" s="114"/>
      <c r="B338" s="114"/>
      <c r="C338" s="114"/>
      <c r="D338" s="114"/>
      <c r="E338" s="114"/>
      <c r="F338" s="114"/>
      <c r="G338" s="121"/>
      <c r="H338" s="42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</row>
    <row r="339">
      <c r="A339" s="114"/>
      <c r="B339" s="114"/>
      <c r="C339" s="114"/>
      <c r="D339" s="114"/>
      <c r="E339" s="114"/>
      <c r="F339" s="114"/>
      <c r="G339" s="121"/>
      <c r="H339" s="42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</row>
    <row r="340">
      <c r="A340" s="114"/>
      <c r="B340" s="114"/>
      <c r="C340" s="114"/>
      <c r="D340" s="114"/>
      <c r="E340" s="114"/>
      <c r="F340" s="114"/>
      <c r="G340" s="121"/>
      <c r="H340" s="42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</row>
    <row r="341">
      <c r="A341" s="114"/>
      <c r="B341" s="114"/>
      <c r="C341" s="114"/>
      <c r="D341" s="114"/>
      <c r="E341" s="114"/>
      <c r="F341" s="114"/>
      <c r="G341" s="121"/>
      <c r="H341" s="42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</row>
    <row r="342">
      <c r="A342" s="114"/>
      <c r="B342" s="114"/>
      <c r="C342" s="114"/>
      <c r="D342" s="114"/>
      <c r="E342" s="114"/>
      <c r="F342" s="114"/>
      <c r="G342" s="121"/>
      <c r="H342" s="42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</row>
    <row r="343">
      <c r="A343" s="114"/>
      <c r="B343" s="114"/>
      <c r="C343" s="114"/>
      <c r="D343" s="114"/>
      <c r="E343" s="114"/>
      <c r="F343" s="114"/>
      <c r="G343" s="121"/>
      <c r="H343" s="42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</row>
    <row r="344">
      <c r="A344" s="114"/>
      <c r="B344" s="114"/>
      <c r="C344" s="114"/>
      <c r="D344" s="114"/>
      <c r="E344" s="114"/>
      <c r="F344" s="114"/>
      <c r="G344" s="121"/>
      <c r="H344" s="42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</row>
    <row r="345">
      <c r="A345" s="114"/>
      <c r="B345" s="114"/>
      <c r="C345" s="114"/>
      <c r="D345" s="114"/>
      <c r="E345" s="114"/>
      <c r="F345" s="114"/>
      <c r="G345" s="121"/>
      <c r="H345" s="42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</row>
    <row r="346">
      <c r="A346" s="114"/>
      <c r="B346" s="114"/>
      <c r="C346" s="114"/>
      <c r="D346" s="114"/>
      <c r="E346" s="114"/>
      <c r="F346" s="114"/>
      <c r="G346" s="121"/>
      <c r="H346" s="42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</row>
    <row r="347">
      <c r="A347" s="114"/>
      <c r="B347" s="114"/>
      <c r="C347" s="114"/>
      <c r="D347" s="114"/>
      <c r="E347" s="114"/>
      <c r="F347" s="114"/>
      <c r="G347" s="121"/>
      <c r="H347" s="42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</row>
    <row r="348">
      <c r="A348" s="114"/>
      <c r="B348" s="114"/>
      <c r="C348" s="114"/>
      <c r="D348" s="114"/>
      <c r="E348" s="114"/>
      <c r="F348" s="114"/>
      <c r="G348" s="121"/>
      <c r="H348" s="42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</row>
    <row r="349">
      <c r="A349" s="114"/>
      <c r="B349" s="114"/>
      <c r="C349" s="114"/>
      <c r="D349" s="114"/>
      <c r="E349" s="114"/>
      <c r="F349" s="114"/>
      <c r="G349" s="121"/>
      <c r="H349" s="42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</row>
    <row r="350">
      <c r="A350" s="114"/>
      <c r="B350" s="114"/>
      <c r="C350" s="114"/>
      <c r="D350" s="114"/>
      <c r="E350" s="114"/>
      <c r="F350" s="114"/>
      <c r="G350" s="121"/>
      <c r="H350" s="42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</row>
    <row r="351">
      <c r="A351" s="114"/>
      <c r="B351" s="114"/>
      <c r="C351" s="114"/>
      <c r="D351" s="114"/>
      <c r="E351" s="114"/>
      <c r="F351" s="114"/>
      <c r="G351" s="121"/>
      <c r="H351" s="42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</row>
    <row r="352">
      <c r="A352" s="114"/>
      <c r="B352" s="114"/>
      <c r="C352" s="114"/>
      <c r="D352" s="114"/>
      <c r="E352" s="114"/>
      <c r="F352" s="114"/>
      <c r="G352" s="121"/>
      <c r="H352" s="42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</row>
    <row r="353">
      <c r="A353" s="114"/>
      <c r="B353" s="114"/>
      <c r="C353" s="114"/>
      <c r="D353" s="114"/>
      <c r="E353" s="114"/>
      <c r="F353" s="114"/>
      <c r="G353" s="121"/>
      <c r="H353" s="42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</row>
    <row r="354">
      <c r="A354" s="114"/>
      <c r="B354" s="114"/>
      <c r="C354" s="114"/>
      <c r="D354" s="114"/>
      <c r="E354" s="114"/>
      <c r="F354" s="114"/>
      <c r="G354" s="121"/>
      <c r="H354" s="42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</row>
    <row r="355">
      <c r="A355" s="114"/>
      <c r="B355" s="114"/>
      <c r="C355" s="114"/>
      <c r="D355" s="114"/>
      <c r="E355" s="114"/>
      <c r="F355" s="114"/>
      <c r="G355" s="121"/>
      <c r="H355" s="42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</row>
    <row r="356">
      <c r="A356" s="114"/>
      <c r="B356" s="114"/>
      <c r="C356" s="114"/>
      <c r="D356" s="114"/>
      <c r="E356" s="114"/>
      <c r="F356" s="114"/>
      <c r="G356" s="121"/>
      <c r="H356" s="42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</row>
    <row r="357">
      <c r="A357" s="114"/>
      <c r="B357" s="114"/>
      <c r="C357" s="114"/>
      <c r="D357" s="114"/>
      <c r="E357" s="114"/>
      <c r="F357" s="114"/>
      <c r="G357" s="121"/>
      <c r="H357" s="42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</row>
    <row r="358">
      <c r="A358" s="114"/>
      <c r="B358" s="114"/>
      <c r="C358" s="114"/>
      <c r="D358" s="114"/>
      <c r="E358" s="114"/>
      <c r="F358" s="114"/>
      <c r="G358" s="121"/>
      <c r="H358" s="42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</row>
    <row r="359">
      <c r="A359" s="114"/>
      <c r="B359" s="114"/>
      <c r="C359" s="114"/>
      <c r="D359" s="114"/>
      <c r="E359" s="114"/>
      <c r="F359" s="114"/>
      <c r="G359" s="121"/>
      <c r="H359" s="42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</row>
    <row r="360">
      <c r="A360" s="114"/>
      <c r="B360" s="114"/>
      <c r="C360" s="114"/>
      <c r="D360" s="114"/>
      <c r="E360" s="114"/>
      <c r="F360" s="114"/>
      <c r="G360" s="121"/>
      <c r="H360" s="42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</row>
    <row r="361">
      <c r="A361" s="114"/>
      <c r="B361" s="114"/>
      <c r="C361" s="114"/>
      <c r="D361" s="114"/>
      <c r="E361" s="114"/>
      <c r="F361" s="114"/>
      <c r="G361" s="121"/>
      <c r="H361" s="42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</row>
    <row r="362">
      <c r="A362" s="114"/>
      <c r="B362" s="114"/>
      <c r="C362" s="114"/>
      <c r="D362" s="114"/>
      <c r="E362" s="114"/>
      <c r="F362" s="114"/>
      <c r="G362" s="121"/>
      <c r="H362" s="42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</row>
    <row r="363">
      <c r="A363" s="114"/>
      <c r="B363" s="114"/>
      <c r="C363" s="114"/>
      <c r="D363" s="114"/>
      <c r="E363" s="114"/>
      <c r="F363" s="114"/>
      <c r="G363" s="121"/>
      <c r="H363" s="42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</row>
    <row r="364">
      <c r="A364" s="114"/>
      <c r="B364" s="114"/>
      <c r="C364" s="114"/>
      <c r="D364" s="114"/>
      <c r="E364" s="114"/>
      <c r="F364" s="114"/>
      <c r="G364" s="121"/>
      <c r="H364" s="42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</row>
    <row r="365">
      <c r="A365" s="114"/>
      <c r="B365" s="114"/>
      <c r="C365" s="114"/>
      <c r="D365" s="114"/>
      <c r="E365" s="114"/>
      <c r="F365" s="114"/>
      <c r="G365" s="121"/>
      <c r="H365" s="42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</row>
    <row r="366">
      <c r="A366" s="114"/>
      <c r="B366" s="114"/>
      <c r="C366" s="114"/>
      <c r="D366" s="114"/>
      <c r="E366" s="114"/>
      <c r="F366" s="114"/>
      <c r="G366" s="121"/>
      <c r="H366" s="42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</row>
    <row r="367">
      <c r="A367" s="114"/>
      <c r="B367" s="114"/>
      <c r="C367" s="114"/>
      <c r="D367" s="114"/>
      <c r="E367" s="114"/>
      <c r="F367" s="114"/>
      <c r="G367" s="121"/>
      <c r="H367" s="42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</row>
    <row r="368">
      <c r="A368" s="114"/>
      <c r="B368" s="114"/>
      <c r="C368" s="114"/>
      <c r="D368" s="114"/>
      <c r="E368" s="114"/>
      <c r="F368" s="114"/>
      <c r="G368" s="121"/>
      <c r="H368" s="42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</row>
    <row r="369">
      <c r="A369" s="114"/>
      <c r="B369" s="114"/>
      <c r="C369" s="114"/>
      <c r="D369" s="114"/>
      <c r="E369" s="114"/>
      <c r="F369" s="114"/>
      <c r="G369" s="121"/>
      <c r="H369" s="42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</row>
    <row r="370">
      <c r="A370" s="114"/>
      <c r="B370" s="114"/>
      <c r="C370" s="114"/>
      <c r="D370" s="114"/>
      <c r="E370" s="114"/>
      <c r="F370" s="114"/>
      <c r="G370" s="121"/>
      <c r="H370" s="42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</row>
    <row r="371">
      <c r="A371" s="114"/>
      <c r="B371" s="114"/>
      <c r="C371" s="114"/>
      <c r="D371" s="114"/>
      <c r="E371" s="114"/>
      <c r="F371" s="114"/>
      <c r="G371" s="121"/>
      <c r="H371" s="42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</row>
    <row r="372">
      <c r="A372" s="114"/>
      <c r="B372" s="114"/>
      <c r="C372" s="114"/>
      <c r="D372" s="114"/>
      <c r="E372" s="114"/>
      <c r="F372" s="114"/>
      <c r="G372" s="121"/>
      <c r="H372" s="42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</row>
    <row r="373">
      <c r="A373" s="114"/>
      <c r="B373" s="114"/>
      <c r="C373" s="114"/>
      <c r="D373" s="114"/>
      <c r="E373" s="114"/>
      <c r="F373" s="114"/>
      <c r="G373" s="121"/>
      <c r="H373" s="42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</row>
    <row r="374">
      <c r="A374" s="114"/>
      <c r="B374" s="114"/>
      <c r="C374" s="114"/>
      <c r="D374" s="114"/>
      <c r="E374" s="114"/>
      <c r="F374" s="114"/>
      <c r="G374" s="121"/>
      <c r="H374" s="42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</row>
    <row r="375">
      <c r="A375" s="114"/>
      <c r="B375" s="114"/>
      <c r="C375" s="114"/>
      <c r="D375" s="114"/>
      <c r="E375" s="114"/>
      <c r="F375" s="114"/>
      <c r="G375" s="121"/>
      <c r="H375" s="42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</row>
    <row r="376">
      <c r="A376" s="114"/>
      <c r="B376" s="114"/>
      <c r="C376" s="114"/>
      <c r="D376" s="114"/>
      <c r="E376" s="114"/>
      <c r="F376" s="114"/>
      <c r="G376" s="121"/>
      <c r="H376" s="42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</row>
    <row r="377">
      <c r="A377" s="114"/>
      <c r="B377" s="114"/>
      <c r="C377" s="114"/>
      <c r="D377" s="114"/>
      <c r="E377" s="114"/>
      <c r="F377" s="114"/>
      <c r="G377" s="121"/>
      <c r="H377" s="42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</row>
    <row r="378">
      <c r="A378" s="114"/>
      <c r="B378" s="114"/>
      <c r="C378" s="114"/>
      <c r="D378" s="114"/>
      <c r="E378" s="114"/>
      <c r="F378" s="114"/>
      <c r="G378" s="121"/>
      <c r="H378" s="42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</row>
    <row r="379">
      <c r="A379" s="114"/>
      <c r="B379" s="114"/>
      <c r="C379" s="114"/>
      <c r="D379" s="114"/>
      <c r="E379" s="114"/>
      <c r="F379" s="114"/>
      <c r="G379" s="121"/>
      <c r="H379" s="42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</row>
    <row r="380">
      <c r="A380" s="114"/>
      <c r="B380" s="114"/>
      <c r="C380" s="114"/>
      <c r="D380" s="114"/>
      <c r="E380" s="114"/>
      <c r="F380" s="114"/>
      <c r="G380" s="121"/>
      <c r="H380" s="42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</row>
    <row r="381">
      <c r="A381" s="114"/>
      <c r="B381" s="114"/>
      <c r="C381" s="114"/>
      <c r="D381" s="114"/>
      <c r="E381" s="114"/>
      <c r="F381" s="114"/>
      <c r="G381" s="121"/>
      <c r="H381" s="42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</row>
    <row r="382">
      <c r="A382" s="114"/>
      <c r="B382" s="114"/>
      <c r="C382" s="114"/>
      <c r="D382" s="114"/>
      <c r="E382" s="114"/>
      <c r="F382" s="114"/>
      <c r="G382" s="121"/>
      <c r="H382" s="42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</row>
    <row r="383">
      <c r="A383" s="114"/>
      <c r="B383" s="114"/>
      <c r="C383" s="114"/>
      <c r="D383" s="114"/>
      <c r="E383" s="114"/>
      <c r="F383" s="114"/>
      <c r="G383" s="121"/>
      <c r="H383" s="42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</row>
    <row r="384">
      <c r="A384" s="114"/>
      <c r="B384" s="114"/>
      <c r="C384" s="114"/>
      <c r="D384" s="114"/>
      <c r="E384" s="114"/>
      <c r="F384" s="114"/>
      <c r="G384" s="121"/>
      <c r="H384" s="42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</row>
    <row r="385">
      <c r="A385" s="114"/>
      <c r="B385" s="114"/>
      <c r="C385" s="114"/>
      <c r="D385" s="114"/>
      <c r="E385" s="114"/>
      <c r="F385" s="114"/>
      <c r="G385" s="121"/>
      <c r="H385" s="42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</row>
    <row r="386">
      <c r="A386" s="114"/>
      <c r="B386" s="114"/>
      <c r="C386" s="114"/>
      <c r="D386" s="114"/>
      <c r="E386" s="114"/>
      <c r="F386" s="114"/>
      <c r="G386" s="121"/>
      <c r="H386" s="42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</row>
    <row r="387">
      <c r="A387" s="114"/>
      <c r="B387" s="114"/>
      <c r="C387" s="114"/>
      <c r="D387" s="114"/>
      <c r="E387" s="114"/>
      <c r="F387" s="114"/>
      <c r="G387" s="121"/>
      <c r="H387" s="42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</row>
    <row r="388">
      <c r="A388" s="114"/>
      <c r="B388" s="114"/>
      <c r="C388" s="114"/>
      <c r="D388" s="114"/>
      <c r="E388" s="114"/>
      <c r="F388" s="114"/>
      <c r="G388" s="121"/>
      <c r="H388" s="42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</row>
    <row r="389">
      <c r="A389" s="114"/>
      <c r="B389" s="114"/>
      <c r="C389" s="114"/>
      <c r="D389" s="114"/>
      <c r="E389" s="114"/>
      <c r="F389" s="114"/>
      <c r="G389" s="121"/>
      <c r="H389" s="42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</row>
    <row r="390">
      <c r="A390" s="114"/>
      <c r="B390" s="114"/>
      <c r="C390" s="114"/>
      <c r="D390" s="114"/>
      <c r="E390" s="114"/>
      <c r="F390" s="114"/>
      <c r="G390" s="121"/>
      <c r="H390" s="42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</row>
    <row r="391">
      <c r="A391" s="114"/>
      <c r="B391" s="114"/>
      <c r="C391" s="114"/>
      <c r="D391" s="114"/>
      <c r="E391" s="114"/>
      <c r="F391" s="114"/>
      <c r="G391" s="121"/>
      <c r="H391" s="42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</row>
    <row r="392">
      <c r="A392" s="114"/>
      <c r="B392" s="114"/>
      <c r="C392" s="114"/>
      <c r="D392" s="114"/>
      <c r="E392" s="114"/>
      <c r="F392" s="114"/>
      <c r="G392" s="121"/>
      <c r="H392" s="42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</row>
    <row r="393">
      <c r="A393" s="114"/>
      <c r="B393" s="114"/>
      <c r="C393" s="114"/>
      <c r="D393" s="114"/>
      <c r="E393" s="114"/>
      <c r="F393" s="114"/>
      <c r="G393" s="121"/>
      <c r="H393" s="42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</row>
    <row r="394">
      <c r="A394" s="114"/>
      <c r="B394" s="114"/>
      <c r="C394" s="114"/>
      <c r="D394" s="114"/>
      <c r="E394" s="114"/>
      <c r="F394" s="114"/>
      <c r="G394" s="121"/>
      <c r="H394" s="42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</row>
    <row r="395">
      <c r="A395" s="114"/>
      <c r="B395" s="114"/>
      <c r="C395" s="114"/>
      <c r="D395" s="114"/>
      <c r="E395" s="114"/>
      <c r="F395" s="114"/>
      <c r="G395" s="121"/>
      <c r="H395" s="42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</row>
    <row r="396">
      <c r="A396" s="114"/>
      <c r="B396" s="114"/>
      <c r="C396" s="114"/>
      <c r="D396" s="114"/>
      <c r="E396" s="114"/>
      <c r="F396" s="114"/>
      <c r="G396" s="121"/>
      <c r="H396" s="42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</row>
    <row r="397">
      <c r="A397" s="114"/>
      <c r="B397" s="114"/>
      <c r="C397" s="114"/>
      <c r="D397" s="114"/>
      <c r="E397" s="114"/>
      <c r="F397" s="114"/>
      <c r="G397" s="121"/>
      <c r="H397" s="42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</row>
    <row r="398">
      <c r="A398" s="114"/>
      <c r="B398" s="114"/>
      <c r="C398" s="114"/>
      <c r="D398" s="114"/>
      <c r="E398" s="114"/>
      <c r="F398" s="114"/>
      <c r="G398" s="121"/>
      <c r="H398" s="42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</row>
    <row r="399">
      <c r="A399" s="114"/>
      <c r="B399" s="114"/>
      <c r="C399" s="114"/>
      <c r="D399" s="114"/>
      <c r="E399" s="114"/>
      <c r="F399" s="114"/>
      <c r="G399" s="121"/>
      <c r="H399" s="42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</row>
    <row r="400">
      <c r="A400" s="114"/>
      <c r="B400" s="114"/>
      <c r="C400" s="114"/>
      <c r="D400" s="114"/>
      <c r="E400" s="114"/>
      <c r="F400" s="114"/>
      <c r="G400" s="121"/>
      <c r="H400" s="42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</row>
    <row r="401">
      <c r="A401" s="114"/>
      <c r="B401" s="114"/>
      <c r="C401" s="114"/>
      <c r="D401" s="114"/>
      <c r="E401" s="114"/>
      <c r="F401" s="114"/>
      <c r="G401" s="121"/>
      <c r="H401" s="42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</row>
    <row r="402">
      <c r="A402" s="114"/>
      <c r="B402" s="114"/>
      <c r="C402" s="114"/>
      <c r="D402" s="114"/>
      <c r="E402" s="114"/>
      <c r="F402" s="114"/>
      <c r="G402" s="121"/>
      <c r="H402" s="42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</row>
    <row r="403">
      <c r="A403" s="114"/>
      <c r="B403" s="114"/>
      <c r="C403" s="114"/>
      <c r="D403" s="114"/>
      <c r="E403" s="114"/>
      <c r="F403" s="114"/>
      <c r="G403" s="121"/>
      <c r="H403" s="42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</row>
    <row r="404">
      <c r="A404" s="114"/>
      <c r="B404" s="114"/>
      <c r="C404" s="114"/>
      <c r="D404" s="114"/>
      <c r="E404" s="114"/>
      <c r="F404" s="114"/>
      <c r="G404" s="121"/>
      <c r="H404" s="42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</row>
    <row r="405">
      <c r="A405" s="114"/>
      <c r="B405" s="114"/>
      <c r="C405" s="114"/>
      <c r="D405" s="114"/>
      <c r="E405" s="114"/>
      <c r="F405" s="114"/>
      <c r="G405" s="121"/>
      <c r="H405" s="42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</row>
    <row r="406">
      <c r="A406" s="114"/>
      <c r="B406" s="114"/>
      <c r="C406" s="114"/>
      <c r="D406" s="114"/>
      <c r="E406" s="114"/>
      <c r="F406" s="114"/>
      <c r="G406" s="121"/>
      <c r="H406" s="42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</row>
    <row r="407">
      <c r="A407" s="114"/>
      <c r="B407" s="114"/>
      <c r="C407" s="114"/>
      <c r="D407" s="114"/>
      <c r="E407" s="114"/>
      <c r="F407" s="114"/>
      <c r="G407" s="121"/>
      <c r="H407" s="42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</row>
    <row r="408">
      <c r="A408" s="114"/>
      <c r="B408" s="114"/>
      <c r="C408" s="114"/>
      <c r="D408" s="114"/>
      <c r="E408" s="114"/>
      <c r="F408" s="114"/>
      <c r="G408" s="121"/>
      <c r="H408" s="42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</row>
    <row r="409">
      <c r="A409" s="114"/>
      <c r="B409" s="114"/>
      <c r="C409" s="114"/>
      <c r="D409" s="114"/>
      <c r="E409" s="114"/>
      <c r="F409" s="114"/>
      <c r="G409" s="121"/>
      <c r="H409" s="42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</row>
    <row r="410">
      <c r="A410" s="114"/>
      <c r="B410" s="114"/>
      <c r="C410" s="114"/>
      <c r="D410" s="114"/>
      <c r="E410" s="114"/>
      <c r="F410" s="114"/>
      <c r="G410" s="121"/>
      <c r="H410" s="42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</row>
    <row r="411">
      <c r="A411" s="114"/>
      <c r="B411" s="114"/>
      <c r="C411" s="114"/>
      <c r="D411" s="114"/>
      <c r="E411" s="114"/>
      <c r="F411" s="114"/>
      <c r="G411" s="121"/>
      <c r="H411" s="42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</row>
    <row r="412">
      <c r="A412" s="114"/>
      <c r="B412" s="114"/>
      <c r="C412" s="114"/>
      <c r="D412" s="114"/>
      <c r="E412" s="114"/>
      <c r="F412" s="114"/>
      <c r="G412" s="121"/>
      <c r="H412" s="42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</row>
    <row r="413">
      <c r="A413" s="114"/>
      <c r="B413" s="114"/>
      <c r="C413" s="114"/>
      <c r="D413" s="114"/>
      <c r="E413" s="114"/>
      <c r="F413" s="114"/>
      <c r="G413" s="121"/>
      <c r="H413" s="42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</row>
    <row r="414">
      <c r="A414" s="114"/>
      <c r="B414" s="114"/>
      <c r="C414" s="114"/>
      <c r="D414" s="114"/>
      <c r="E414" s="114"/>
      <c r="F414" s="114"/>
      <c r="G414" s="121"/>
      <c r="H414" s="42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</row>
    <row r="415">
      <c r="A415" s="114"/>
      <c r="B415" s="114"/>
      <c r="C415" s="114"/>
      <c r="D415" s="114"/>
      <c r="E415" s="114"/>
      <c r="F415" s="114"/>
      <c r="G415" s="121"/>
      <c r="H415" s="42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</row>
    <row r="416">
      <c r="A416" s="114"/>
      <c r="B416" s="114"/>
      <c r="C416" s="114"/>
      <c r="D416" s="114"/>
      <c r="E416" s="114"/>
      <c r="F416" s="114"/>
      <c r="G416" s="121"/>
      <c r="H416" s="42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</row>
    <row r="417">
      <c r="A417" s="114"/>
      <c r="B417" s="114"/>
      <c r="C417" s="114"/>
      <c r="D417" s="114"/>
      <c r="E417" s="114"/>
      <c r="F417" s="114"/>
      <c r="G417" s="121"/>
      <c r="H417" s="42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</row>
    <row r="418">
      <c r="A418" s="114"/>
      <c r="B418" s="114"/>
      <c r="C418" s="114"/>
      <c r="D418" s="114"/>
      <c r="E418" s="114"/>
      <c r="F418" s="114"/>
      <c r="G418" s="121"/>
      <c r="H418" s="42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</row>
    <row r="419">
      <c r="A419" s="114"/>
      <c r="B419" s="114"/>
      <c r="C419" s="114"/>
      <c r="D419" s="114"/>
      <c r="E419" s="114"/>
      <c r="F419" s="114"/>
      <c r="G419" s="121"/>
      <c r="H419" s="42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</row>
    <row r="420">
      <c r="A420" s="114"/>
      <c r="B420" s="114"/>
      <c r="C420" s="114"/>
      <c r="D420" s="114"/>
      <c r="E420" s="114"/>
      <c r="F420" s="114"/>
      <c r="G420" s="121"/>
      <c r="H420" s="42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</row>
    <row r="421">
      <c r="A421" s="114"/>
      <c r="B421" s="114"/>
      <c r="C421" s="114"/>
      <c r="D421" s="114"/>
      <c r="E421" s="114"/>
      <c r="F421" s="114"/>
      <c r="G421" s="121"/>
      <c r="H421" s="42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</row>
    <row r="422">
      <c r="A422" s="114"/>
      <c r="B422" s="114"/>
      <c r="C422" s="114"/>
      <c r="D422" s="114"/>
      <c r="E422" s="114"/>
      <c r="F422" s="114"/>
      <c r="G422" s="121"/>
      <c r="H422" s="42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</row>
    <row r="423">
      <c r="A423" s="114"/>
      <c r="B423" s="114"/>
      <c r="C423" s="114"/>
      <c r="D423" s="114"/>
      <c r="E423" s="114"/>
      <c r="F423" s="114"/>
      <c r="G423" s="121"/>
      <c r="H423" s="42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</row>
    <row r="424">
      <c r="A424" s="114"/>
      <c r="B424" s="114"/>
      <c r="C424" s="114"/>
      <c r="D424" s="114"/>
      <c r="E424" s="114"/>
      <c r="F424" s="114"/>
      <c r="G424" s="121"/>
      <c r="H424" s="42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</row>
    <row r="425">
      <c r="A425" s="114"/>
      <c r="B425" s="114"/>
      <c r="C425" s="114"/>
      <c r="D425" s="114"/>
      <c r="E425" s="114"/>
      <c r="F425" s="114"/>
      <c r="G425" s="121"/>
      <c r="H425" s="42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</row>
    <row r="426">
      <c r="A426" s="114"/>
      <c r="B426" s="114"/>
      <c r="C426" s="114"/>
      <c r="D426" s="114"/>
      <c r="E426" s="114"/>
      <c r="F426" s="114"/>
      <c r="G426" s="121"/>
      <c r="H426" s="42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</row>
    <row r="427">
      <c r="A427" s="114"/>
      <c r="B427" s="114"/>
      <c r="C427" s="114"/>
      <c r="D427" s="114"/>
      <c r="E427" s="114"/>
      <c r="F427" s="114"/>
      <c r="G427" s="121"/>
      <c r="H427" s="42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</row>
    <row r="428">
      <c r="A428" s="114"/>
      <c r="B428" s="114"/>
      <c r="C428" s="114"/>
      <c r="D428" s="114"/>
      <c r="E428" s="114"/>
      <c r="F428" s="114"/>
      <c r="G428" s="121"/>
      <c r="H428" s="42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</row>
    <row r="429">
      <c r="A429" s="114"/>
      <c r="B429" s="114"/>
      <c r="C429" s="114"/>
      <c r="D429" s="114"/>
      <c r="E429" s="114"/>
      <c r="F429" s="114"/>
      <c r="G429" s="121"/>
      <c r="H429" s="42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</row>
    <row r="430">
      <c r="A430" s="114"/>
      <c r="B430" s="114"/>
      <c r="C430" s="114"/>
      <c r="D430" s="114"/>
      <c r="E430" s="114"/>
      <c r="F430" s="114"/>
      <c r="G430" s="121"/>
      <c r="H430" s="42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</row>
    <row r="431">
      <c r="A431" s="114"/>
      <c r="B431" s="114"/>
      <c r="C431" s="114"/>
      <c r="D431" s="114"/>
      <c r="E431" s="114"/>
      <c r="F431" s="114"/>
      <c r="G431" s="121"/>
      <c r="H431" s="42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</row>
    <row r="432">
      <c r="A432" s="114"/>
      <c r="B432" s="114"/>
      <c r="C432" s="114"/>
      <c r="D432" s="114"/>
      <c r="E432" s="114"/>
      <c r="F432" s="114"/>
      <c r="G432" s="121"/>
      <c r="H432" s="42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</row>
    <row r="433">
      <c r="A433" s="114"/>
      <c r="B433" s="114"/>
      <c r="C433" s="114"/>
      <c r="D433" s="114"/>
      <c r="E433" s="114"/>
      <c r="F433" s="114"/>
      <c r="G433" s="121"/>
      <c r="H433" s="42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</row>
    <row r="434">
      <c r="A434" s="114"/>
      <c r="B434" s="114"/>
      <c r="C434" s="114"/>
      <c r="D434" s="114"/>
      <c r="E434" s="114"/>
      <c r="F434" s="114"/>
      <c r="G434" s="121"/>
      <c r="H434" s="42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</row>
    <row r="435">
      <c r="A435" s="114"/>
      <c r="B435" s="114"/>
      <c r="C435" s="114"/>
      <c r="D435" s="114"/>
      <c r="E435" s="114"/>
      <c r="F435" s="114"/>
      <c r="G435" s="121"/>
      <c r="H435" s="42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</row>
    <row r="436">
      <c r="A436" s="114"/>
      <c r="B436" s="114"/>
      <c r="C436" s="114"/>
      <c r="D436" s="114"/>
      <c r="E436" s="114"/>
      <c r="F436" s="114"/>
      <c r="G436" s="121"/>
      <c r="H436" s="42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</row>
    <row r="437">
      <c r="A437" s="114"/>
      <c r="B437" s="114"/>
      <c r="C437" s="114"/>
      <c r="D437" s="114"/>
      <c r="E437" s="114"/>
      <c r="F437" s="114"/>
      <c r="G437" s="121"/>
      <c r="H437" s="42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</row>
    <row r="438">
      <c r="A438" s="114"/>
      <c r="B438" s="114"/>
      <c r="C438" s="114"/>
      <c r="D438" s="114"/>
      <c r="E438" s="114"/>
      <c r="F438" s="114"/>
      <c r="G438" s="121"/>
      <c r="H438" s="42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</row>
    <row r="439">
      <c r="A439" s="114"/>
      <c r="B439" s="114"/>
      <c r="C439" s="114"/>
      <c r="D439" s="114"/>
      <c r="E439" s="114"/>
      <c r="F439" s="114"/>
      <c r="G439" s="121"/>
      <c r="H439" s="42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</row>
    <row r="440">
      <c r="A440" s="114"/>
      <c r="B440" s="114"/>
      <c r="C440" s="114"/>
      <c r="D440" s="114"/>
      <c r="E440" s="114"/>
      <c r="F440" s="114"/>
      <c r="G440" s="121"/>
      <c r="H440" s="42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</row>
    <row r="441">
      <c r="A441" s="114"/>
      <c r="B441" s="114"/>
      <c r="C441" s="114"/>
      <c r="D441" s="114"/>
      <c r="E441" s="114"/>
      <c r="F441" s="114"/>
      <c r="G441" s="121"/>
      <c r="H441" s="42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</row>
    <row r="442">
      <c r="A442" s="114"/>
      <c r="B442" s="114"/>
      <c r="C442" s="114"/>
      <c r="D442" s="114"/>
      <c r="E442" s="114"/>
      <c r="F442" s="114"/>
      <c r="G442" s="121"/>
      <c r="H442" s="42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</row>
    <row r="443">
      <c r="A443" s="114"/>
      <c r="B443" s="114"/>
      <c r="C443" s="114"/>
      <c r="D443" s="114"/>
      <c r="E443" s="114"/>
      <c r="F443" s="114"/>
      <c r="G443" s="121"/>
      <c r="H443" s="42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</row>
    <row r="444">
      <c r="A444" s="114"/>
      <c r="B444" s="114"/>
      <c r="C444" s="114"/>
      <c r="D444" s="114"/>
      <c r="E444" s="114"/>
      <c r="F444" s="114"/>
      <c r="G444" s="121"/>
      <c r="H444" s="42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</row>
    <row r="445">
      <c r="A445" s="114"/>
      <c r="B445" s="114"/>
      <c r="C445" s="114"/>
      <c r="D445" s="114"/>
      <c r="E445" s="114"/>
      <c r="F445" s="114"/>
      <c r="G445" s="121"/>
      <c r="H445" s="42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</row>
    <row r="446">
      <c r="A446" s="114"/>
      <c r="B446" s="114"/>
      <c r="C446" s="114"/>
      <c r="D446" s="114"/>
      <c r="E446" s="114"/>
      <c r="F446" s="114"/>
      <c r="G446" s="121"/>
      <c r="H446" s="42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</row>
    <row r="447">
      <c r="A447" s="114"/>
      <c r="B447" s="114"/>
      <c r="C447" s="114"/>
      <c r="D447" s="114"/>
      <c r="E447" s="114"/>
      <c r="F447" s="114"/>
      <c r="G447" s="121"/>
      <c r="H447" s="42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</row>
    <row r="448">
      <c r="A448" s="114"/>
      <c r="B448" s="114"/>
      <c r="C448" s="114"/>
      <c r="D448" s="114"/>
      <c r="E448" s="114"/>
      <c r="F448" s="114"/>
      <c r="G448" s="121"/>
      <c r="H448" s="42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</row>
    <row r="449">
      <c r="A449" s="114"/>
      <c r="B449" s="114"/>
      <c r="C449" s="114"/>
      <c r="D449" s="114"/>
      <c r="E449" s="114"/>
      <c r="F449" s="114"/>
      <c r="G449" s="121"/>
      <c r="H449" s="42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</row>
    <row r="450">
      <c r="A450" s="114"/>
      <c r="B450" s="114"/>
      <c r="C450" s="114"/>
      <c r="D450" s="114"/>
      <c r="E450" s="114"/>
      <c r="F450" s="114"/>
      <c r="G450" s="121"/>
      <c r="H450" s="42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</row>
    <row r="451">
      <c r="A451" s="114"/>
      <c r="B451" s="114"/>
      <c r="C451" s="114"/>
      <c r="D451" s="114"/>
      <c r="E451" s="114"/>
      <c r="F451" s="114"/>
      <c r="G451" s="121"/>
      <c r="H451" s="42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</row>
    <row r="452">
      <c r="A452" s="114"/>
      <c r="B452" s="114"/>
      <c r="C452" s="114"/>
      <c r="D452" s="114"/>
      <c r="E452" s="114"/>
      <c r="F452" s="114"/>
      <c r="G452" s="121"/>
      <c r="H452" s="42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</row>
    <row r="453">
      <c r="A453" s="114"/>
      <c r="B453" s="114"/>
      <c r="C453" s="114"/>
      <c r="D453" s="114"/>
      <c r="E453" s="114"/>
      <c r="F453" s="114"/>
      <c r="G453" s="121"/>
      <c r="H453" s="42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</row>
    <row r="454">
      <c r="A454" s="114"/>
      <c r="B454" s="114"/>
      <c r="C454" s="114"/>
      <c r="D454" s="114"/>
      <c r="E454" s="114"/>
      <c r="F454" s="114"/>
      <c r="G454" s="121"/>
      <c r="H454" s="42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</row>
    <row r="455">
      <c r="A455" s="114"/>
      <c r="B455" s="114"/>
      <c r="C455" s="114"/>
      <c r="D455" s="114"/>
      <c r="E455" s="114"/>
      <c r="F455" s="114"/>
      <c r="G455" s="121"/>
      <c r="H455" s="42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</row>
    <row r="456">
      <c r="A456" s="114"/>
      <c r="B456" s="114"/>
      <c r="C456" s="114"/>
      <c r="D456" s="114"/>
      <c r="E456" s="114"/>
      <c r="F456" s="114"/>
      <c r="G456" s="121"/>
      <c r="H456" s="42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</row>
    <row r="457">
      <c r="A457" s="114"/>
      <c r="B457" s="114"/>
      <c r="C457" s="114"/>
      <c r="D457" s="114"/>
      <c r="E457" s="114"/>
      <c r="F457" s="114"/>
      <c r="G457" s="121"/>
      <c r="H457" s="42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</row>
    <row r="458">
      <c r="A458" s="114"/>
      <c r="B458" s="114"/>
      <c r="C458" s="114"/>
      <c r="D458" s="114"/>
      <c r="E458" s="114"/>
      <c r="F458" s="114"/>
      <c r="G458" s="121"/>
      <c r="H458" s="42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</row>
    <row r="459">
      <c r="A459" s="114"/>
      <c r="B459" s="114"/>
      <c r="C459" s="114"/>
      <c r="D459" s="114"/>
      <c r="E459" s="114"/>
      <c r="F459" s="114"/>
      <c r="G459" s="121"/>
      <c r="H459" s="42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</row>
    <row r="460">
      <c r="A460" s="114"/>
      <c r="B460" s="114"/>
      <c r="C460" s="114"/>
      <c r="D460" s="114"/>
      <c r="E460" s="114"/>
      <c r="F460" s="114"/>
      <c r="G460" s="121"/>
      <c r="H460" s="42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</row>
    <row r="461">
      <c r="A461" s="114"/>
      <c r="B461" s="114"/>
      <c r="C461" s="114"/>
      <c r="D461" s="114"/>
      <c r="E461" s="114"/>
      <c r="F461" s="114"/>
      <c r="G461" s="121"/>
      <c r="H461" s="42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</row>
    <row r="462">
      <c r="A462" s="114"/>
      <c r="B462" s="114"/>
      <c r="C462" s="114"/>
      <c r="D462" s="114"/>
      <c r="E462" s="114"/>
      <c r="F462" s="114"/>
      <c r="G462" s="121"/>
      <c r="H462" s="42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</row>
    <row r="463">
      <c r="A463" s="114"/>
      <c r="B463" s="114"/>
      <c r="C463" s="114"/>
      <c r="D463" s="114"/>
      <c r="E463" s="114"/>
      <c r="F463" s="114"/>
      <c r="G463" s="121"/>
      <c r="H463" s="42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</row>
    <row r="464">
      <c r="A464" s="114"/>
      <c r="B464" s="114"/>
      <c r="C464" s="114"/>
      <c r="D464" s="114"/>
      <c r="E464" s="114"/>
      <c r="F464" s="114"/>
      <c r="G464" s="121"/>
      <c r="H464" s="42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</row>
    <row r="465">
      <c r="A465" s="114"/>
      <c r="B465" s="114"/>
      <c r="C465" s="114"/>
      <c r="D465" s="114"/>
      <c r="E465" s="114"/>
      <c r="F465" s="114"/>
      <c r="G465" s="121"/>
      <c r="H465" s="42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</row>
    <row r="466">
      <c r="A466" s="114"/>
      <c r="B466" s="114"/>
      <c r="C466" s="114"/>
      <c r="D466" s="114"/>
      <c r="E466" s="114"/>
      <c r="F466" s="114"/>
      <c r="G466" s="121"/>
      <c r="H466" s="42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</row>
    <row r="467">
      <c r="A467" s="114"/>
      <c r="B467" s="114"/>
      <c r="C467" s="114"/>
      <c r="D467" s="114"/>
      <c r="E467" s="114"/>
      <c r="F467" s="114"/>
      <c r="G467" s="121"/>
      <c r="H467" s="42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</row>
    <row r="468">
      <c r="A468" s="114"/>
      <c r="B468" s="114"/>
      <c r="C468" s="114"/>
      <c r="D468" s="114"/>
      <c r="E468" s="114"/>
      <c r="F468" s="114"/>
      <c r="G468" s="121"/>
      <c r="H468" s="42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</row>
    <row r="469">
      <c r="A469" s="114"/>
      <c r="B469" s="114"/>
      <c r="C469" s="114"/>
      <c r="D469" s="114"/>
      <c r="E469" s="114"/>
      <c r="F469" s="114"/>
      <c r="G469" s="121"/>
      <c r="H469" s="42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</row>
    <row r="470">
      <c r="A470" s="114"/>
      <c r="B470" s="114"/>
      <c r="C470" s="114"/>
      <c r="D470" s="114"/>
      <c r="E470" s="114"/>
      <c r="F470" s="114"/>
      <c r="G470" s="121"/>
      <c r="H470" s="42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</row>
    <row r="471">
      <c r="A471" s="114"/>
      <c r="B471" s="114"/>
      <c r="C471" s="114"/>
      <c r="D471" s="114"/>
      <c r="E471" s="114"/>
      <c r="F471" s="114"/>
      <c r="G471" s="121"/>
      <c r="H471" s="42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</row>
    <row r="472">
      <c r="A472" s="114"/>
      <c r="B472" s="114"/>
      <c r="C472" s="114"/>
      <c r="D472" s="114"/>
      <c r="E472" s="114"/>
      <c r="F472" s="114"/>
      <c r="G472" s="121"/>
      <c r="H472" s="42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</row>
    <row r="473">
      <c r="A473" s="114"/>
      <c r="B473" s="114"/>
      <c r="C473" s="114"/>
      <c r="D473" s="114"/>
      <c r="E473" s="114"/>
      <c r="F473" s="114"/>
      <c r="G473" s="121"/>
      <c r="H473" s="42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</row>
    <row r="474">
      <c r="A474" s="114"/>
      <c r="B474" s="114"/>
      <c r="C474" s="114"/>
      <c r="D474" s="114"/>
      <c r="E474" s="114"/>
      <c r="F474" s="114"/>
      <c r="G474" s="121"/>
      <c r="H474" s="42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</row>
    <row r="475">
      <c r="A475" s="114"/>
      <c r="B475" s="114"/>
      <c r="C475" s="114"/>
      <c r="D475" s="114"/>
      <c r="E475" s="114"/>
      <c r="F475" s="114"/>
      <c r="G475" s="121"/>
      <c r="H475" s="42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</row>
    <row r="476">
      <c r="A476" s="114"/>
      <c r="B476" s="114"/>
      <c r="C476" s="114"/>
      <c r="D476" s="114"/>
      <c r="E476" s="114"/>
      <c r="F476" s="114"/>
      <c r="G476" s="121"/>
      <c r="H476" s="42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</row>
    <row r="477">
      <c r="A477" s="114"/>
      <c r="B477" s="114"/>
      <c r="C477" s="114"/>
      <c r="D477" s="114"/>
      <c r="E477" s="114"/>
      <c r="F477" s="114"/>
      <c r="G477" s="121"/>
      <c r="H477" s="42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</row>
    <row r="478">
      <c r="A478" s="114"/>
      <c r="B478" s="114"/>
      <c r="C478" s="114"/>
      <c r="D478" s="114"/>
      <c r="E478" s="114"/>
      <c r="F478" s="114"/>
      <c r="G478" s="121"/>
      <c r="H478" s="42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</row>
    <row r="479">
      <c r="A479" s="114"/>
      <c r="B479" s="114"/>
      <c r="C479" s="114"/>
      <c r="D479" s="114"/>
      <c r="E479" s="114"/>
      <c r="F479" s="114"/>
      <c r="G479" s="121"/>
      <c r="H479" s="42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</row>
    <row r="480">
      <c r="A480" s="114"/>
      <c r="B480" s="114"/>
      <c r="C480" s="114"/>
      <c r="D480" s="114"/>
      <c r="E480" s="114"/>
      <c r="F480" s="114"/>
      <c r="G480" s="121"/>
      <c r="H480" s="42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</row>
    <row r="481">
      <c r="A481" s="114"/>
      <c r="B481" s="114"/>
      <c r="C481" s="114"/>
      <c r="D481" s="114"/>
      <c r="E481" s="114"/>
      <c r="F481" s="114"/>
      <c r="G481" s="121"/>
      <c r="H481" s="42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</row>
    <row r="482">
      <c r="A482" s="114"/>
      <c r="B482" s="114"/>
      <c r="C482" s="114"/>
      <c r="D482" s="114"/>
      <c r="E482" s="114"/>
      <c r="F482" s="114"/>
      <c r="G482" s="121"/>
      <c r="H482" s="42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</row>
    <row r="483">
      <c r="A483" s="114"/>
      <c r="B483" s="114"/>
      <c r="C483" s="114"/>
      <c r="D483" s="114"/>
      <c r="E483" s="114"/>
      <c r="F483" s="114"/>
      <c r="G483" s="121"/>
      <c r="H483" s="42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</row>
    <row r="484">
      <c r="A484" s="114"/>
      <c r="B484" s="114"/>
      <c r="C484" s="114"/>
      <c r="D484" s="114"/>
      <c r="E484" s="114"/>
      <c r="F484" s="114"/>
      <c r="G484" s="121"/>
      <c r="H484" s="42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</row>
    <row r="485">
      <c r="A485" s="114"/>
      <c r="B485" s="114"/>
      <c r="C485" s="114"/>
      <c r="D485" s="114"/>
      <c r="E485" s="114"/>
      <c r="F485" s="114"/>
      <c r="G485" s="121"/>
      <c r="H485" s="42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</row>
    <row r="486">
      <c r="A486" s="114"/>
      <c r="B486" s="114"/>
      <c r="C486" s="114"/>
      <c r="D486" s="114"/>
      <c r="E486" s="114"/>
      <c r="F486" s="114"/>
      <c r="G486" s="121"/>
      <c r="H486" s="42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</row>
    <row r="487">
      <c r="A487" s="114"/>
      <c r="B487" s="114"/>
      <c r="C487" s="114"/>
      <c r="D487" s="114"/>
      <c r="E487" s="114"/>
      <c r="F487" s="114"/>
      <c r="G487" s="121"/>
      <c r="H487" s="42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</row>
    <row r="488">
      <c r="A488" s="114"/>
      <c r="B488" s="114"/>
      <c r="C488" s="114"/>
      <c r="D488" s="114"/>
      <c r="E488" s="114"/>
      <c r="F488" s="114"/>
      <c r="G488" s="121"/>
      <c r="H488" s="42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</row>
    <row r="489">
      <c r="A489" s="114"/>
      <c r="B489" s="114"/>
      <c r="C489" s="114"/>
      <c r="D489" s="114"/>
      <c r="E489" s="114"/>
      <c r="F489" s="114"/>
      <c r="G489" s="121"/>
      <c r="H489" s="42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</row>
    <row r="490">
      <c r="A490" s="114"/>
      <c r="B490" s="114"/>
      <c r="C490" s="114"/>
      <c r="D490" s="114"/>
      <c r="E490" s="114"/>
      <c r="F490" s="114"/>
      <c r="G490" s="121"/>
      <c r="H490" s="42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</row>
    <row r="491">
      <c r="A491" s="114"/>
      <c r="B491" s="114"/>
      <c r="C491" s="114"/>
      <c r="D491" s="114"/>
      <c r="E491" s="114"/>
      <c r="F491" s="114"/>
      <c r="G491" s="121"/>
      <c r="H491" s="42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</row>
    <row r="492">
      <c r="A492" s="114"/>
      <c r="B492" s="114"/>
      <c r="C492" s="114"/>
      <c r="D492" s="114"/>
      <c r="E492" s="114"/>
      <c r="F492" s="114"/>
      <c r="G492" s="121"/>
      <c r="H492" s="42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</row>
    <row r="493">
      <c r="A493" s="114"/>
      <c r="B493" s="114"/>
      <c r="C493" s="114"/>
      <c r="D493" s="114"/>
      <c r="E493" s="114"/>
      <c r="F493" s="114"/>
      <c r="G493" s="121"/>
      <c r="H493" s="42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</row>
    <row r="494">
      <c r="A494" s="114"/>
      <c r="B494" s="114"/>
      <c r="C494" s="114"/>
      <c r="D494" s="114"/>
      <c r="E494" s="114"/>
      <c r="F494" s="114"/>
      <c r="G494" s="121"/>
      <c r="H494" s="42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</row>
    <row r="495">
      <c r="A495" s="114"/>
      <c r="B495" s="114"/>
      <c r="C495" s="114"/>
      <c r="D495" s="114"/>
      <c r="E495" s="114"/>
      <c r="F495" s="114"/>
      <c r="G495" s="121"/>
      <c r="H495" s="42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</row>
    <row r="496">
      <c r="A496" s="114"/>
      <c r="B496" s="114"/>
      <c r="C496" s="114"/>
      <c r="D496" s="114"/>
      <c r="E496" s="114"/>
      <c r="F496" s="114"/>
      <c r="G496" s="121"/>
      <c r="H496" s="42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</row>
    <row r="497">
      <c r="A497" s="114"/>
      <c r="B497" s="114"/>
      <c r="C497" s="114"/>
      <c r="D497" s="114"/>
      <c r="E497" s="114"/>
      <c r="F497" s="114"/>
      <c r="G497" s="121"/>
      <c r="H497" s="42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</row>
    <row r="498">
      <c r="A498" s="114"/>
      <c r="B498" s="114"/>
      <c r="C498" s="114"/>
      <c r="D498" s="114"/>
      <c r="E498" s="114"/>
      <c r="F498" s="114"/>
      <c r="G498" s="121"/>
      <c r="H498" s="42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</row>
    <row r="499">
      <c r="A499" s="114"/>
      <c r="B499" s="114"/>
      <c r="C499" s="114"/>
      <c r="D499" s="114"/>
      <c r="E499" s="114"/>
      <c r="F499" s="114"/>
      <c r="G499" s="121"/>
      <c r="H499" s="42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</row>
    <row r="500">
      <c r="A500" s="114"/>
      <c r="B500" s="114"/>
      <c r="C500" s="114"/>
      <c r="D500" s="114"/>
      <c r="E500" s="114"/>
      <c r="F500" s="114"/>
      <c r="G500" s="121"/>
      <c r="H500" s="42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</row>
    <row r="501">
      <c r="A501" s="114"/>
      <c r="B501" s="114"/>
      <c r="C501" s="114"/>
      <c r="D501" s="114"/>
      <c r="E501" s="114"/>
      <c r="F501" s="114"/>
      <c r="G501" s="121"/>
      <c r="H501" s="42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</row>
    <row r="502">
      <c r="A502" s="114"/>
      <c r="B502" s="114"/>
      <c r="C502" s="114"/>
      <c r="D502" s="114"/>
      <c r="E502" s="114"/>
      <c r="F502" s="114"/>
      <c r="G502" s="121"/>
      <c r="H502" s="42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</row>
    <row r="503">
      <c r="A503" s="114"/>
      <c r="B503" s="114"/>
      <c r="C503" s="114"/>
      <c r="D503" s="114"/>
      <c r="E503" s="114"/>
      <c r="F503" s="114"/>
      <c r="G503" s="121"/>
      <c r="H503" s="42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</row>
    <row r="504">
      <c r="A504" s="114"/>
      <c r="B504" s="114"/>
      <c r="C504" s="114"/>
      <c r="D504" s="114"/>
      <c r="E504" s="114"/>
      <c r="F504" s="114"/>
      <c r="G504" s="121"/>
      <c r="H504" s="42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</row>
    <row r="505">
      <c r="A505" s="114"/>
      <c r="B505" s="114"/>
      <c r="C505" s="114"/>
      <c r="D505" s="114"/>
      <c r="E505" s="114"/>
      <c r="F505" s="114"/>
      <c r="G505" s="121"/>
      <c r="H505" s="42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</row>
    <row r="506">
      <c r="A506" s="114"/>
      <c r="B506" s="114"/>
      <c r="C506" s="114"/>
      <c r="D506" s="114"/>
      <c r="E506" s="114"/>
      <c r="F506" s="114"/>
      <c r="G506" s="121"/>
      <c r="H506" s="42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</row>
    <row r="507">
      <c r="A507" s="114"/>
      <c r="B507" s="114"/>
      <c r="C507" s="114"/>
      <c r="D507" s="114"/>
      <c r="E507" s="114"/>
      <c r="F507" s="114"/>
      <c r="G507" s="121"/>
      <c r="H507" s="42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</row>
    <row r="508">
      <c r="A508" s="114"/>
      <c r="B508" s="114"/>
      <c r="C508" s="114"/>
      <c r="D508" s="114"/>
      <c r="E508" s="114"/>
      <c r="F508" s="114"/>
      <c r="G508" s="121"/>
      <c r="H508" s="42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</row>
    <row r="509">
      <c r="A509" s="114"/>
      <c r="B509" s="114"/>
      <c r="C509" s="114"/>
      <c r="D509" s="114"/>
      <c r="E509" s="114"/>
      <c r="F509" s="114"/>
      <c r="G509" s="121"/>
      <c r="H509" s="42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</row>
    <row r="510">
      <c r="A510" s="114"/>
      <c r="B510" s="114"/>
      <c r="C510" s="114"/>
      <c r="D510" s="114"/>
      <c r="E510" s="114"/>
      <c r="F510" s="114"/>
      <c r="G510" s="121"/>
      <c r="H510" s="42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</row>
    <row r="511">
      <c r="A511" s="114"/>
      <c r="B511" s="114"/>
      <c r="C511" s="114"/>
      <c r="D511" s="114"/>
      <c r="E511" s="114"/>
      <c r="F511" s="114"/>
      <c r="G511" s="121"/>
      <c r="H511" s="42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</row>
    <row r="512">
      <c r="A512" s="114"/>
      <c r="B512" s="114"/>
      <c r="C512" s="114"/>
      <c r="D512" s="114"/>
      <c r="E512" s="114"/>
      <c r="F512" s="114"/>
      <c r="G512" s="121"/>
      <c r="H512" s="42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</row>
    <row r="513">
      <c r="A513" s="114"/>
      <c r="B513" s="114"/>
      <c r="C513" s="114"/>
      <c r="D513" s="114"/>
      <c r="E513" s="114"/>
      <c r="F513" s="114"/>
      <c r="G513" s="121"/>
      <c r="H513" s="42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</row>
    <row r="514">
      <c r="A514" s="114"/>
      <c r="B514" s="114"/>
      <c r="C514" s="114"/>
      <c r="D514" s="114"/>
      <c r="E514" s="114"/>
      <c r="F514" s="114"/>
      <c r="G514" s="121"/>
      <c r="H514" s="42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</row>
    <row r="515">
      <c r="A515" s="114"/>
      <c r="B515" s="114"/>
      <c r="C515" s="114"/>
      <c r="D515" s="114"/>
      <c r="E515" s="114"/>
      <c r="F515" s="114"/>
      <c r="G515" s="121"/>
      <c r="H515" s="42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</row>
    <row r="516">
      <c r="A516" s="114"/>
      <c r="B516" s="114"/>
      <c r="C516" s="114"/>
      <c r="D516" s="114"/>
      <c r="E516" s="114"/>
      <c r="F516" s="114"/>
      <c r="G516" s="121"/>
      <c r="H516" s="42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</row>
    <row r="517">
      <c r="A517" s="114"/>
      <c r="B517" s="114"/>
      <c r="C517" s="114"/>
      <c r="D517" s="114"/>
      <c r="E517" s="114"/>
      <c r="F517" s="114"/>
      <c r="G517" s="121"/>
      <c r="H517" s="42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</row>
    <row r="518">
      <c r="A518" s="114"/>
      <c r="B518" s="114"/>
      <c r="C518" s="114"/>
      <c r="D518" s="114"/>
      <c r="E518" s="114"/>
      <c r="F518" s="114"/>
      <c r="G518" s="121"/>
      <c r="H518" s="42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</row>
    <row r="519">
      <c r="A519" s="114"/>
      <c r="B519" s="114"/>
      <c r="C519" s="114"/>
      <c r="D519" s="114"/>
      <c r="E519" s="114"/>
      <c r="F519" s="114"/>
      <c r="G519" s="121"/>
      <c r="H519" s="42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</row>
    <row r="520">
      <c r="A520" s="114"/>
      <c r="B520" s="114"/>
      <c r="C520" s="114"/>
      <c r="D520" s="114"/>
      <c r="E520" s="114"/>
      <c r="F520" s="114"/>
      <c r="G520" s="121"/>
      <c r="H520" s="42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</row>
    <row r="521">
      <c r="A521" s="114"/>
      <c r="B521" s="114"/>
      <c r="C521" s="114"/>
      <c r="D521" s="114"/>
      <c r="E521" s="114"/>
      <c r="F521" s="114"/>
      <c r="G521" s="121"/>
      <c r="H521" s="42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</row>
    <row r="522">
      <c r="A522" s="114"/>
      <c r="B522" s="114"/>
      <c r="C522" s="114"/>
      <c r="D522" s="114"/>
      <c r="E522" s="114"/>
      <c r="F522" s="114"/>
      <c r="G522" s="121"/>
      <c r="H522" s="42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</row>
    <row r="523">
      <c r="A523" s="114"/>
      <c r="B523" s="114"/>
      <c r="C523" s="114"/>
      <c r="D523" s="114"/>
      <c r="E523" s="114"/>
      <c r="F523" s="114"/>
      <c r="G523" s="121"/>
      <c r="H523" s="42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</row>
    <row r="524">
      <c r="A524" s="114"/>
      <c r="B524" s="114"/>
      <c r="C524" s="114"/>
      <c r="D524" s="114"/>
      <c r="E524" s="114"/>
      <c r="F524" s="114"/>
      <c r="G524" s="121"/>
      <c r="H524" s="42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</row>
    <row r="525">
      <c r="A525" s="114"/>
      <c r="B525" s="114"/>
      <c r="C525" s="114"/>
      <c r="D525" s="114"/>
      <c r="E525" s="114"/>
      <c r="F525" s="114"/>
      <c r="G525" s="121"/>
      <c r="H525" s="42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</row>
    <row r="526">
      <c r="A526" s="114"/>
      <c r="B526" s="114"/>
      <c r="C526" s="114"/>
      <c r="D526" s="114"/>
      <c r="E526" s="114"/>
      <c r="F526" s="114"/>
      <c r="G526" s="121"/>
      <c r="H526" s="42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</row>
    <row r="527">
      <c r="A527" s="114"/>
      <c r="B527" s="114"/>
      <c r="C527" s="114"/>
      <c r="D527" s="114"/>
      <c r="E527" s="114"/>
      <c r="F527" s="114"/>
      <c r="G527" s="121"/>
      <c r="H527" s="42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</row>
    <row r="528">
      <c r="A528" s="114"/>
      <c r="B528" s="114"/>
      <c r="C528" s="114"/>
      <c r="D528" s="114"/>
      <c r="E528" s="114"/>
      <c r="F528" s="114"/>
      <c r="G528" s="121"/>
      <c r="H528" s="42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</row>
    <row r="529">
      <c r="A529" s="114"/>
      <c r="B529" s="114"/>
      <c r="C529" s="114"/>
      <c r="D529" s="114"/>
      <c r="E529" s="114"/>
      <c r="F529" s="114"/>
      <c r="G529" s="121"/>
      <c r="H529" s="42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</row>
    <row r="530">
      <c r="A530" s="114"/>
      <c r="B530" s="114"/>
      <c r="C530" s="114"/>
      <c r="D530" s="114"/>
      <c r="E530" s="114"/>
      <c r="F530" s="114"/>
      <c r="G530" s="121"/>
      <c r="H530" s="42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</row>
    <row r="531">
      <c r="A531" s="114"/>
      <c r="B531" s="114"/>
      <c r="C531" s="114"/>
      <c r="D531" s="114"/>
      <c r="E531" s="114"/>
      <c r="F531" s="114"/>
      <c r="G531" s="121"/>
      <c r="H531" s="42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</row>
    <row r="532">
      <c r="A532" s="114"/>
      <c r="B532" s="114"/>
      <c r="C532" s="114"/>
      <c r="D532" s="114"/>
      <c r="E532" s="114"/>
      <c r="F532" s="114"/>
      <c r="G532" s="121"/>
      <c r="H532" s="42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</row>
    <row r="533">
      <c r="A533" s="114"/>
      <c r="B533" s="114"/>
      <c r="C533" s="114"/>
      <c r="D533" s="114"/>
      <c r="E533" s="114"/>
      <c r="F533" s="114"/>
      <c r="G533" s="121"/>
      <c r="H533" s="42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</row>
    <row r="534">
      <c r="A534" s="114"/>
      <c r="B534" s="114"/>
      <c r="C534" s="114"/>
      <c r="D534" s="114"/>
      <c r="E534" s="114"/>
      <c r="F534" s="114"/>
      <c r="G534" s="121"/>
      <c r="H534" s="42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</row>
    <row r="535">
      <c r="A535" s="114"/>
      <c r="B535" s="114"/>
      <c r="C535" s="114"/>
      <c r="D535" s="114"/>
      <c r="E535" s="114"/>
      <c r="F535" s="114"/>
      <c r="G535" s="121"/>
      <c r="H535" s="42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</row>
    <row r="536">
      <c r="A536" s="114"/>
      <c r="B536" s="114"/>
      <c r="C536" s="114"/>
      <c r="D536" s="114"/>
      <c r="E536" s="114"/>
      <c r="F536" s="114"/>
      <c r="G536" s="121"/>
      <c r="H536" s="42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</row>
    <row r="537">
      <c r="A537" s="114"/>
      <c r="B537" s="114"/>
      <c r="C537" s="114"/>
      <c r="D537" s="114"/>
      <c r="E537" s="114"/>
      <c r="F537" s="114"/>
      <c r="G537" s="121"/>
      <c r="H537" s="42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</row>
    <row r="538">
      <c r="A538" s="114"/>
      <c r="B538" s="114"/>
      <c r="C538" s="114"/>
      <c r="D538" s="114"/>
      <c r="E538" s="114"/>
      <c r="F538" s="114"/>
      <c r="G538" s="121"/>
      <c r="H538" s="42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</row>
    <row r="539">
      <c r="A539" s="114"/>
      <c r="B539" s="114"/>
      <c r="C539" s="114"/>
      <c r="D539" s="114"/>
      <c r="E539" s="114"/>
      <c r="F539" s="114"/>
      <c r="G539" s="121"/>
      <c r="H539" s="42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</row>
    <row r="540">
      <c r="A540" s="114"/>
      <c r="B540" s="114"/>
      <c r="C540" s="114"/>
      <c r="D540" s="114"/>
      <c r="E540" s="114"/>
      <c r="F540" s="114"/>
      <c r="G540" s="121"/>
      <c r="H540" s="42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</row>
    <row r="541">
      <c r="A541" s="114"/>
      <c r="B541" s="114"/>
      <c r="C541" s="114"/>
      <c r="D541" s="114"/>
      <c r="E541" s="114"/>
      <c r="F541" s="114"/>
      <c r="G541" s="121"/>
      <c r="H541" s="42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</row>
    <row r="542">
      <c r="A542" s="114"/>
      <c r="B542" s="114"/>
      <c r="C542" s="114"/>
      <c r="D542" s="114"/>
      <c r="E542" s="114"/>
      <c r="F542" s="114"/>
      <c r="G542" s="121"/>
      <c r="H542" s="42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</row>
    <row r="543">
      <c r="A543" s="114"/>
      <c r="B543" s="114"/>
      <c r="C543" s="114"/>
      <c r="D543" s="114"/>
      <c r="E543" s="114"/>
      <c r="F543" s="114"/>
      <c r="G543" s="121"/>
      <c r="H543" s="42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</row>
    <row r="544">
      <c r="A544" s="114"/>
      <c r="B544" s="114"/>
      <c r="C544" s="114"/>
      <c r="D544" s="114"/>
      <c r="E544" s="114"/>
      <c r="F544" s="114"/>
      <c r="G544" s="121"/>
      <c r="H544" s="42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</row>
    <row r="545">
      <c r="A545" s="114"/>
      <c r="B545" s="114"/>
      <c r="C545" s="114"/>
      <c r="D545" s="114"/>
      <c r="E545" s="114"/>
      <c r="F545" s="114"/>
      <c r="G545" s="121"/>
      <c r="H545" s="42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</row>
    <row r="546">
      <c r="A546" s="114"/>
      <c r="B546" s="114"/>
      <c r="C546" s="114"/>
      <c r="D546" s="114"/>
      <c r="E546" s="114"/>
      <c r="F546" s="114"/>
      <c r="G546" s="121"/>
      <c r="H546" s="42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</row>
    <row r="547">
      <c r="A547" s="114"/>
      <c r="B547" s="114"/>
      <c r="C547" s="114"/>
      <c r="D547" s="114"/>
      <c r="E547" s="114"/>
      <c r="F547" s="114"/>
      <c r="G547" s="121"/>
      <c r="H547" s="42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</row>
    <row r="548">
      <c r="A548" s="114"/>
      <c r="B548" s="114"/>
      <c r="C548" s="114"/>
      <c r="D548" s="114"/>
      <c r="E548" s="114"/>
      <c r="F548" s="114"/>
      <c r="G548" s="121"/>
      <c r="H548" s="42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</row>
    <row r="549">
      <c r="A549" s="114"/>
      <c r="B549" s="114"/>
      <c r="C549" s="114"/>
      <c r="D549" s="114"/>
      <c r="E549" s="114"/>
      <c r="F549" s="114"/>
      <c r="G549" s="121"/>
      <c r="H549" s="42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</row>
    <row r="550">
      <c r="A550" s="114"/>
      <c r="B550" s="114"/>
      <c r="C550" s="114"/>
      <c r="D550" s="114"/>
      <c r="E550" s="114"/>
      <c r="F550" s="114"/>
      <c r="G550" s="121"/>
      <c r="H550" s="42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</row>
    <row r="551">
      <c r="A551" s="114"/>
      <c r="B551" s="114"/>
      <c r="C551" s="114"/>
      <c r="D551" s="114"/>
      <c r="E551" s="114"/>
      <c r="F551" s="114"/>
      <c r="G551" s="121"/>
      <c r="H551" s="42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</row>
    <row r="552">
      <c r="A552" s="114"/>
      <c r="B552" s="114"/>
      <c r="C552" s="114"/>
      <c r="D552" s="114"/>
      <c r="E552" s="114"/>
      <c r="F552" s="114"/>
      <c r="G552" s="121"/>
      <c r="H552" s="42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</row>
    <row r="553">
      <c r="A553" s="114"/>
      <c r="B553" s="114"/>
      <c r="C553" s="114"/>
      <c r="D553" s="114"/>
      <c r="E553" s="114"/>
      <c r="F553" s="114"/>
      <c r="G553" s="121"/>
      <c r="H553" s="42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</row>
    <row r="554">
      <c r="A554" s="114"/>
      <c r="B554" s="114"/>
      <c r="C554" s="114"/>
      <c r="D554" s="114"/>
      <c r="E554" s="114"/>
      <c r="F554" s="114"/>
      <c r="G554" s="121"/>
      <c r="H554" s="42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</row>
    <row r="555">
      <c r="A555" s="114"/>
      <c r="B555" s="114"/>
      <c r="C555" s="114"/>
      <c r="D555" s="114"/>
      <c r="E555" s="114"/>
      <c r="F555" s="114"/>
      <c r="G555" s="121"/>
      <c r="H555" s="42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</row>
    <row r="556">
      <c r="A556" s="114"/>
      <c r="B556" s="114"/>
      <c r="C556" s="114"/>
      <c r="D556" s="114"/>
      <c r="E556" s="114"/>
      <c r="F556" s="114"/>
      <c r="G556" s="121"/>
      <c r="H556" s="42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</row>
    <row r="557">
      <c r="A557" s="114"/>
      <c r="B557" s="114"/>
      <c r="C557" s="114"/>
      <c r="D557" s="114"/>
      <c r="E557" s="114"/>
      <c r="F557" s="114"/>
      <c r="G557" s="121"/>
      <c r="H557" s="42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</row>
    <row r="558">
      <c r="A558" s="114"/>
      <c r="B558" s="114"/>
      <c r="C558" s="114"/>
      <c r="D558" s="114"/>
      <c r="E558" s="114"/>
      <c r="F558" s="114"/>
      <c r="G558" s="121"/>
      <c r="H558" s="42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</row>
    <row r="559">
      <c r="A559" s="114"/>
      <c r="B559" s="114"/>
      <c r="C559" s="114"/>
      <c r="D559" s="114"/>
      <c r="E559" s="114"/>
      <c r="F559" s="114"/>
      <c r="G559" s="121"/>
      <c r="H559" s="42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</row>
    <row r="560">
      <c r="A560" s="114"/>
      <c r="B560" s="114"/>
      <c r="C560" s="114"/>
      <c r="D560" s="114"/>
      <c r="E560" s="114"/>
      <c r="F560" s="114"/>
      <c r="G560" s="121"/>
      <c r="H560" s="42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</row>
    <row r="561">
      <c r="A561" s="114"/>
      <c r="B561" s="114"/>
      <c r="C561" s="114"/>
      <c r="D561" s="114"/>
      <c r="E561" s="114"/>
      <c r="F561" s="114"/>
      <c r="G561" s="121"/>
      <c r="H561" s="42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</row>
    <row r="562">
      <c r="A562" s="114"/>
      <c r="B562" s="114"/>
      <c r="C562" s="114"/>
      <c r="D562" s="114"/>
      <c r="E562" s="114"/>
      <c r="F562" s="114"/>
      <c r="G562" s="121"/>
      <c r="H562" s="42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</row>
    <row r="563">
      <c r="A563" s="114"/>
      <c r="B563" s="114"/>
      <c r="C563" s="114"/>
      <c r="D563" s="114"/>
      <c r="E563" s="114"/>
      <c r="F563" s="114"/>
      <c r="G563" s="121"/>
      <c r="H563" s="42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</row>
    <row r="564">
      <c r="A564" s="114"/>
      <c r="B564" s="114"/>
      <c r="C564" s="114"/>
      <c r="D564" s="114"/>
      <c r="E564" s="114"/>
      <c r="F564" s="114"/>
      <c r="G564" s="121"/>
      <c r="H564" s="42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</row>
    <row r="565">
      <c r="A565" s="114"/>
      <c r="B565" s="114"/>
      <c r="C565" s="114"/>
      <c r="D565" s="114"/>
      <c r="E565" s="114"/>
      <c r="F565" s="114"/>
      <c r="G565" s="121"/>
      <c r="H565" s="42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</row>
    <row r="566">
      <c r="A566" s="114"/>
      <c r="B566" s="114"/>
      <c r="C566" s="114"/>
      <c r="D566" s="114"/>
      <c r="E566" s="114"/>
      <c r="F566" s="114"/>
      <c r="G566" s="121"/>
      <c r="H566" s="42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</row>
    <row r="567">
      <c r="A567" s="114"/>
      <c r="B567" s="114"/>
      <c r="C567" s="114"/>
      <c r="D567" s="114"/>
      <c r="E567" s="114"/>
      <c r="F567" s="114"/>
      <c r="G567" s="121"/>
      <c r="H567" s="42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</row>
    <row r="568">
      <c r="A568" s="114"/>
      <c r="B568" s="114"/>
      <c r="C568" s="114"/>
      <c r="D568" s="114"/>
      <c r="E568" s="114"/>
      <c r="F568" s="114"/>
      <c r="G568" s="121"/>
      <c r="H568" s="42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</row>
    <row r="569">
      <c r="A569" s="114"/>
      <c r="B569" s="114"/>
      <c r="C569" s="114"/>
      <c r="D569" s="114"/>
      <c r="E569" s="114"/>
      <c r="F569" s="114"/>
      <c r="G569" s="121"/>
      <c r="H569" s="42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</row>
    <row r="570">
      <c r="A570" s="114"/>
      <c r="B570" s="114"/>
      <c r="C570" s="114"/>
      <c r="D570" s="114"/>
      <c r="E570" s="114"/>
      <c r="F570" s="114"/>
      <c r="G570" s="121"/>
      <c r="H570" s="42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</row>
    <row r="571">
      <c r="A571" s="114"/>
      <c r="B571" s="114"/>
      <c r="C571" s="114"/>
      <c r="D571" s="114"/>
      <c r="E571" s="114"/>
      <c r="F571" s="114"/>
      <c r="G571" s="121"/>
      <c r="H571" s="42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</row>
    <row r="572">
      <c r="A572" s="114"/>
      <c r="B572" s="114"/>
      <c r="C572" s="114"/>
      <c r="D572" s="114"/>
      <c r="E572" s="114"/>
      <c r="F572" s="114"/>
      <c r="G572" s="121"/>
      <c r="H572" s="42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</row>
    <row r="573">
      <c r="A573" s="114"/>
      <c r="B573" s="114"/>
      <c r="C573" s="114"/>
      <c r="D573" s="114"/>
      <c r="E573" s="114"/>
      <c r="F573" s="114"/>
      <c r="G573" s="121"/>
      <c r="H573" s="42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</row>
    <row r="574">
      <c r="A574" s="114"/>
      <c r="B574" s="114"/>
      <c r="C574" s="114"/>
      <c r="D574" s="114"/>
      <c r="E574" s="114"/>
      <c r="F574" s="114"/>
      <c r="G574" s="121"/>
      <c r="H574" s="42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</row>
    <row r="575">
      <c r="A575" s="114"/>
      <c r="B575" s="114"/>
      <c r="C575" s="114"/>
      <c r="D575" s="114"/>
      <c r="E575" s="114"/>
      <c r="F575" s="114"/>
      <c r="G575" s="121"/>
      <c r="H575" s="42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</row>
    <row r="576">
      <c r="A576" s="114"/>
      <c r="B576" s="114"/>
      <c r="C576" s="114"/>
      <c r="D576" s="114"/>
      <c r="E576" s="114"/>
      <c r="F576" s="114"/>
      <c r="G576" s="121"/>
      <c r="H576" s="42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</row>
    <row r="577">
      <c r="A577" s="114"/>
      <c r="B577" s="114"/>
      <c r="C577" s="114"/>
      <c r="D577" s="114"/>
      <c r="E577" s="114"/>
      <c r="F577" s="114"/>
      <c r="G577" s="121"/>
      <c r="H577" s="42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</row>
    <row r="578">
      <c r="A578" s="114"/>
      <c r="B578" s="114"/>
      <c r="C578" s="114"/>
      <c r="D578" s="114"/>
      <c r="E578" s="114"/>
      <c r="F578" s="114"/>
      <c r="G578" s="121"/>
      <c r="H578" s="42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</row>
    <row r="579">
      <c r="A579" s="114"/>
      <c r="B579" s="114"/>
      <c r="C579" s="114"/>
      <c r="D579" s="114"/>
      <c r="E579" s="114"/>
      <c r="F579" s="114"/>
      <c r="G579" s="121"/>
      <c r="H579" s="42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</row>
    <row r="580">
      <c r="A580" s="114"/>
      <c r="B580" s="114"/>
      <c r="C580" s="114"/>
      <c r="D580" s="114"/>
      <c r="E580" s="114"/>
      <c r="F580" s="114"/>
      <c r="G580" s="121"/>
      <c r="H580" s="42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</row>
    <row r="581">
      <c r="A581" s="114"/>
      <c r="B581" s="114"/>
      <c r="C581" s="114"/>
      <c r="D581" s="114"/>
      <c r="E581" s="114"/>
      <c r="F581" s="114"/>
      <c r="G581" s="121"/>
      <c r="H581" s="42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</row>
    <row r="582">
      <c r="A582" s="114"/>
      <c r="B582" s="114"/>
      <c r="C582" s="114"/>
      <c r="D582" s="114"/>
      <c r="E582" s="114"/>
      <c r="F582" s="114"/>
      <c r="G582" s="121"/>
      <c r="H582" s="42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</row>
    <row r="583">
      <c r="A583" s="114"/>
      <c r="B583" s="114"/>
      <c r="C583" s="114"/>
      <c r="D583" s="114"/>
      <c r="E583" s="114"/>
      <c r="F583" s="114"/>
      <c r="G583" s="121"/>
      <c r="H583" s="42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</row>
    <row r="584">
      <c r="A584" s="114"/>
      <c r="B584" s="114"/>
      <c r="C584" s="114"/>
      <c r="D584" s="114"/>
      <c r="E584" s="114"/>
      <c r="F584" s="114"/>
      <c r="G584" s="121"/>
      <c r="H584" s="42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</row>
    <row r="585">
      <c r="A585" s="114"/>
      <c r="B585" s="114"/>
      <c r="C585" s="114"/>
      <c r="D585" s="114"/>
      <c r="E585" s="114"/>
      <c r="F585" s="114"/>
      <c r="G585" s="121"/>
      <c r="H585" s="42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</row>
    <row r="586">
      <c r="A586" s="114"/>
      <c r="B586" s="114"/>
      <c r="C586" s="114"/>
      <c r="D586" s="114"/>
      <c r="E586" s="114"/>
      <c r="F586" s="114"/>
      <c r="G586" s="121"/>
      <c r="H586" s="42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</row>
    <row r="587">
      <c r="A587" s="114"/>
      <c r="B587" s="114"/>
      <c r="C587" s="114"/>
      <c r="D587" s="114"/>
      <c r="E587" s="114"/>
      <c r="F587" s="114"/>
      <c r="G587" s="121"/>
      <c r="H587" s="42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</row>
    <row r="588">
      <c r="A588" s="114"/>
      <c r="B588" s="114"/>
      <c r="C588" s="114"/>
      <c r="D588" s="114"/>
      <c r="E588" s="114"/>
      <c r="F588" s="114"/>
      <c r="G588" s="121"/>
      <c r="H588" s="42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</row>
    <row r="589">
      <c r="A589" s="114"/>
      <c r="B589" s="114"/>
      <c r="C589" s="114"/>
      <c r="D589" s="114"/>
      <c r="E589" s="114"/>
      <c r="F589" s="114"/>
      <c r="G589" s="121"/>
      <c r="H589" s="42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</row>
    <row r="590">
      <c r="A590" s="114"/>
      <c r="B590" s="114"/>
      <c r="C590" s="114"/>
      <c r="D590" s="114"/>
      <c r="E590" s="114"/>
      <c r="F590" s="114"/>
      <c r="G590" s="121"/>
      <c r="H590" s="42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</row>
    <row r="591">
      <c r="A591" s="114"/>
      <c r="B591" s="114"/>
      <c r="C591" s="114"/>
      <c r="D591" s="114"/>
      <c r="E591" s="114"/>
      <c r="F591" s="114"/>
      <c r="G591" s="121"/>
      <c r="H591" s="42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</row>
    <row r="592">
      <c r="A592" s="114"/>
      <c r="B592" s="114"/>
      <c r="C592" s="114"/>
      <c r="D592" s="114"/>
      <c r="E592" s="114"/>
      <c r="F592" s="114"/>
      <c r="G592" s="121"/>
      <c r="H592" s="42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</row>
    <row r="593">
      <c r="A593" s="114"/>
      <c r="B593" s="114"/>
      <c r="C593" s="114"/>
      <c r="D593" s="114"/>
      <c r="E593" s="114"/>
      <c r="F593" s="114"/>
      <c r="G593" s="121"/>
      <c r="H593" s="42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</row>
    <row r="594">
      <c r="A594" s="114"/>
      <c r="B594" s="114"/>
      <c r="C594" s="114"/>
      <c r="D594" s="114"/>
      <c r="E594" s="114"/>
      <c r="F594" s="114"/>
      <c r="G594" s="121"/>
      <c r="H594" s="42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</row>
    <row r="595">
      <c r="A595" s="114"/>
      <c r="B595" s="114"/>
      <c r="C595" s="114"/>
      <c r="D595" s="114"/>
      <c r="E595" s="114"/>
      <c r="F595" s="114"/>
      <c r="G595" s="121"/>
      <c r="H595" s="42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</row>
    <row r="596">
      <c r="A596" s="114"/>
      <c r="B596" s="114"/>
      <c r="C596" s="114"/>
      <c r="D596" s="114"/>
      <c r="E596" s="114"/>
      <c r="F596" s="114"/>
      <c r="G596" s="121"/>
      <c r="H596" s="42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</row>
    <row r="597">
      <c r="A597" s="114"/>
      <c r="B597" s="114"/>
      <c r="C597" s="114"/>
      <c r="D597" s="114"/>
      <c r="E597" s="114"/>
      <c r="F597" s="114"/>
      <c r="G597" s="121"/>
      <c r="H597" s="42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</row>
    <row r="598">
      <c r="A598" s="114"/>
      <c r="B598" s="114"/>
      <c r="C598" s="114"/>
      <c r="D598" s="114"/>
      <c r="E598" s="114"/>
      <c r="F598" s="114"/>
      <c r="G598" s="121"/>
      <c r="H598" s="42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</row>
    <row r="599">
      <c r="A599" s="114"/>
      <c r="B599" s="114"/>
      <c r="C599" s="114"/>
      <c r="D599" s="114"/>
      <c r="E599" s="114"/>
      <c r="F599" s="114"/>
      <c r="G599" s="121"/>
      <c r="H599" s="42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</row>
    <row r="600">
      <c r="A600" s="114"/>
      <c r="B600" s="114"/>
      <c r="C600" s="114"/>
      <c r="D600" s="114"/>
      <c r="E600" s="114"/>
      <c r="F600" s="114"/>
      <c r="G600" s="121"/>
      <c r="H600" s="42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</row>
    <row r="601">
      <c r="A601" s="114"/>
      <c r="B601" s="114"/>
      <c r="C601" s="114"/>
      <c r="D601" s="114"/>
      <c r="E601" s="114"/>
      <c r="F601" s="114"/>
      <c r="G601" s="121"/>
      <c r="H601" s="42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</row>
    <row r="602">
      <c r="A602" s="114"/>
      <c r="B602" s="114"/>
      <c r="C602" s="114"/>
      <c r="D602" s="114"/>
      <c r="E602" s="114"/>
      <c r="F602" s="114"/>
      <c r="G602" s="121"/>
      <c r="H602" s="42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</row>
    <row r="603">
      <c r="A603" s="114"/>
      <c r="B603" s="114"/>
      <c r="C603" s="114"/>
      <c r="D603" s="114"/>
      <c r="E603" s="114"/>
      <c r="F603" s="114"/>
      <c r="G603" s="121"/>
      <c r="H603" s="42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</row>
    <row r="604">
      <c r="A604" s="114"/>
      <c r="B604" s="114"/>
      <c r="C604" s="114"/>
      <c r="D604" s="114"/>
      <c r="E604" s="114"/>
      <c r="F604" s="114"/>
      <c r="G604" s="121"/>
      <c r="H604" s="42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</row>
    <row r="605">
      <c r="A605" s="114"/>
      <c r="B605" s="114"/>
      <c r="C605" s="114"/>
      <c r="D605" s="114"/>
      <c r="E605" s="114"/>
      <c r="F605" s="114"/>
      <c r="G605" s="121"/>
      <c r="H605" s="42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</row>
    <row r="606">
      <c r="A606" s="114"/>
      <c r="B606" s="114"/>
      <c r="C606" s="114"/>
      <c r="D606" s="114"/>
      <c r="E606" s="114"/>
      <c r="F606" s="114"/>
      <c r="G606" s="121"/>
      <c r="H606" s="42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</row>
    <row r="607">
      <c r="A607" s="114"/>
      <c r="B607" s="114"/>
      <c r="C607" s="114"/>
      <c r="D607" s="114"/>
      <c r="E607" s="114"/>
      <c r="F607" s="114"/>
      <c r="G607" s="121"/>
      <c r="H607" s="42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</row>
    <row r="608">
      <c r="A608" s="114"/>
      <c r="B608" s="114"/>
      <c r="C608" s="114"/>
      <c r="D608" s="114"/>
      <c r="E608" s="114"/>
      <c r="F608" s="114"/>
      <c r="G608" s="121"/>
      <c r="H608" s="42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</row>
    <row r="609">
      <c r="A609" s="114"/>
      <c r="B609" s="114"/>
      <c r="C609" s="114"/>
      <c r="D609" s="114"/>
      <c r="E609" s="114"/>
      <c r="F609" s="114"/>
      <c r="G609" s="121"/>
      <c r="H609" s="42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</row>
    <row r="610">
      <c r="A610" s="114"/>
      <c r="B610" s="114"/>
      <c r="C610" s="114"/>
      <c r="D610" s="114"/>
      <c r="E610" s="114"/>
      <c r="F610" s="114"/>
      <c r="G610" s="121"/>
      <c r="H610" s="42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</row>
    <row r="611">
      <c r="A611" s="114"/>
      <c r="B611" s="114"/>
      <c r="C611" s="114"/>
      <c r="D611" s="114"/>
      <c r="E611" s="114"/>
      <c r="F611" s="114"/>
      <c r="G611" s="121"/>
      <c r="H611" s="42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</row>
    <row r="612">
      <c r="A612" s="114"/>
      <c r="B612" s="114"/>
      <c r="C612" s="114"/>
      <c r="D612" s="114"/>
      <c r="E612" s="114"/>
      <c r="F612" s="114"/>
      <c r="G612" s="121"/>
      <c r="H612" s="42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</row>
    <row r="613">
      <c r="A613" s="114"/>
      <c r="B613" s="114"/>
      <c r="C613" s="114"/>
      <c r="D613" s="114"/>
      <c r="E613" s="114"/>
      <c r="F613" s="114"/>
      <c r="G613" s="121"/>
      <c r="H613" s="42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</row>
    <row r="614">
      <c r="A614" s="114"/>
      <c r="B614" s="114"/>
      <c r="C614" s="114"/>
      <c r="D614" s="114"/>
      <c r="E614" s="114"/>
      <c r="F614" s="114"/>
      <c r="G614" s="121"/>
      <c r="H614" s="42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</row>
    <row r="615">
      <c r="A615" s="114"/>
      <c r="B615" s="114"/>
      <c r="C615" s="114"/>
      <c r="D615" s="114"/>
      <c r="E615" s="114"/>
      <c r="F615" s="114"/>
      <c r="G615" s="121"/>
      <c r="H615" s="42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</row>
    <row r="616">
      <c r="A616" s="114"/>
      <c r="B616" s="114"/>
      <c r="C616" s="114"/>
      <c r="D616" s="114"/>
      <c r="E616" s="114"/>
      <c r="F616" s="114"/>
      <c r="G616" s="121"/>
      <c r="H616" s="42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</row>
    <row r="617">
      <c r="A617" s="114"/>
      <c r="B617" s="114"/>
      <c r="C617" s="114"/>
      <c r="D617" s="114"/>
      <c r="E617" s="114"/>
      <c r="F617" s="114"/>
      <c r="G617" s="121"/>
      <c r="H617" s="42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</row>
    <row r="618">
      <c r="A618" s="114"/>
      <c r="B618" s="114"/>
      <c r="C618" s="114"/>
      <c r="D618" s="114"/>
      <c r="E618" s="114"/>
      <c r="F618" s="114"/>
      <c r="G618" s="121"/>
      <c r="H618" s="42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</row>
    <row r="619">
      <c r="A619" s="114"/>
      <c r="B619" s="114"/>
      <c r="C619" s="114"/>
      <c r="D619" s="114"/>
      <c r="E619" s="114"/>
      <c r="F619" s="114"/>
      <c r="G619" s="121"/>
      <c r="H619" s="42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</row>
    <row r="620">
      <c r="A620" s="114"/>
      <c r="B620" s="114"/>
      <c r="C620" s="114"/>
      <c r="D620" s="114"/>
      <c r="E620" s="114"/>
      <c r="F620" s="114"/>
      <c r="G620" s="121"/>
      <c r="H620" s="42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</row>
    <row r="621">
      <c r="A621" s="114"/>
      <c r="B621" s="114"/>
      <c r="C621" s="114"/>
      <c r="D621" s="114"/>
      <c r="E621" s="114"/>
      <c r="F621" s="114"/>
      <c r="G621" s="121"/>
      <c r="H621" s="42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</row>
    <row r="622">
      <c r="A622" s="114"/>
      <c r="B622" s="114"/>
      <c r="C622" s="114"/>
      <c r="D622" s="114"/>
      <c r="E622" s="114"/>
      <c r="F622" s="114"/>
      <c r="G622" s="121"/>
      <c r="H622" s="42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</row>
    <row r="623">
      <c r="A623" s="114"/>
      <c r="B623" s="114"/>
      <c r="C623" s="114"/>
      <c r="D623" s="114"/>
      <c r="E623" s="114"/>
      <c r="F623" s="114"/>
      <c r="G623" s="121"/>
      <c r="H623" s="42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</row>
    <row r="624">
      <c r="A624" s="114"/>
      <c r="B624" s="114"/>
      <c r="C624" s="114"/>
      <c r="D624" s="114"/>
      <c r="E624" s="114"/>
      <c r="F624" s="114"/>
      <c r="G624" s="121"/>
      <c r="H624" s="42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</row>
    <row r="625">
      <c r="A625" s="114"/>
      <c r="B625" s="114"/>
      <c r="C625" s="114"/>
      <c r="D625" s="114"/>
      <c r="E625" s="114"/>
      <c r="F625" s="114"/>
      <c r="G625" s="121"/>
      <c r="H625" s="42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</row>
    <row r="626">
      <c r="A626" s="114"/>
      <c r="B626" s="114"/>
      <c r="C626" s="114"/>
      <c r="D626" s="114"/>
      <c r="E626" s="114"/>
      <c r="F626" s="114"/>
      <c r="G626" s="121"/>
      <c r="H626" s="42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</row>
    <row r="627">
      <c r="A627" s="114"/>
      <c r="B627" s="114"/>
      <c r="C627" s="114"/>
      <c r="D627" s="114"/>
      <c r="E627" s="114"/>
      <c r="F627" s="114"/>
      <c r="G627" s="121"/>
      <c r="H627" s="42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</row>
    <row r="628">
      <c r="A628" s="114"/>
      <c r="B628" s="114"/>
      <c r="C628" s="114"/>
      <c r="D628" s="114"/>
      <c r="E628" s="114"/>
      <c r="F628" s="114"/>
      <c r="G628" s="121"/>
      <c r="H628" s="42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</row>
    <row r="629">
      <c r="A629" s="114"/>
      <c r="B629" s="114"/>
      <c r="C629" s="114"/>
      <c r="D629" s="114"/>
      <c r="E629" s="114"/>
      <c r="F629" s="114"/>
      <c r="G629" s="121"/>
      <c r="H629" s="42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</row>
    <row r="630">
      <c r="A630" s="114"/>
      <c r="B630" s="114"/>
      <c r="C630" s="114"/>
      <c r="D630" s="114"/>
      <c r="E630" s="114"/>
      <c r="F630" s="114"/>
      <c r="G630" s="121"/>
      <c r="H630" s="42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</row>
    <row r="631">
      <c r="A631" s="114"/>
      <c r="B631" s="114"/>
      <c r="C631" s="114"/>
      <c r="D631" s="114"/>
      <c r="E631" s="114"/>
      <c r="F631" s="114"/>
      <c r="G631" s="121"/>
      <c r="H631" s="42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</row>
    <row r="632">
      <c r="A632" s="114"/>
      <c r="B632" s="114"/>
      <c r="C632" s="114"/>
      <c r="D632" s="114"/>
      <c r="E632" s="114"/>
      <c r="F632" s="114"/>
      <c r="G632" s="121"/>
      <c r="H632" s="42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</row>
    <row r="633">
      <c r="A633" s="114"/>
      <c r="B633" s="114"/>
      <c r="C633" s="114"/>
      <c r="D633" s="114"/>
      <c r="E633" s="114"/>
      <c r="F633" s="114"/>
      <c r="G633" s="121"/>
      <c r="H633" s="42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</row>
    <row r="634">
      <c r="A634" s="114"/>
      <c r="B634" s="114"/>
      <c r="C634" s="114"/>
      <c r="D634" s="114"/>
      <c r="E634" s="114"/>
      <c r="F634" s="114"/>
      <c r="G634" s="121"/>
      <c r="H634" s="42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</row>
    <row r="635">
      <c r="A635" s="114"/>
      <c r="B635" s="114"/>
      <c r="C635" s="114"/>
      <c r="D635" s="114"/>
      <c r="E635" s="114"/>
      <c r="F635" s="114"/>
      <c r="G635" s="121"/>
      <c r="H635" s="42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</row>
    <row r="636">
      <c r="A636" s="114"/>
      <c r="B636" s="114"/>
      <c r="C636" s="114"/>
      <c r="D636" s="114"/>
      <c r="E636" s="114"/>
      <c r="F636" s="114"/>
      <c r="G636" s="121"/>
      <c r="H636" s="42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</row>
    <row r="637">
      <c r="A637" s="114"/>
      <c r="B637" s="114"/>
      <c r="C637" s="114"/>
      <c r="D637" s="114"/>
      <c r="E637" s="114"/>
      <c r="F637" s="114"/>
      <c r="G637" s="121"/>
      <c r="H637" s="42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</row>
    <row r="638">
      <c r="A638" s="114"/>
      <c r="B638" s="114"/>
      <c r="C638" s="114"/>
      <c r="D638" s="114"/>
      <c r="E638" s="114"/>
      <c r="F638" s="114"/>
      <c r="G638" s="121"/>
      <c r="H638" s="42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</row>
    <row r="639">
      <c r="A639" s="114"/>
      <c r="B639" s="114"/>
      <c r="C639" s="114"/>
      <c r="D639" s="114"/>
      <c r="E639" s="114"/>
      <c r="F639" s="114"/>
      <c r="G639" s="121"/>
      <c r="H639" s="42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</row>
    <row r="640">
      <c r="A640" s="114"/>
      <c r="B640" s="114"/>
      <c r="C640" s="114"/>
      <c r="D640" s="114"/>
      <c r="E640" s="114"/>
      <c r="F640" s="114"/>
      <c r="G640" s="121"/>
      <c r="H640" s="42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</row>
    <row r="641">
      <c r="A641" s="114"/>
      <c r="B641" s="114"/>
      <c r="C641" s="114"/>
      <c r="D641" s="114"/>
      <c r="E641" s="114"/>
      <c r="F641" s="114"/>
      <c r="G641" s="121"/>
      <c r="H641" s="42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</row>
    <row r="642">
      <c r="A642" s="114"/>
      <c r="B642" s="114"/>
      <c r="C642" s="114"/>
      <c r="D642" s="114"/>
      <c r="E642" s="114"/>
      <c r="F642" s="114"/>
      <c r="G642" s="121"/>
      <c r="H642" s="42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</row>
    <row r="643">
      <c r="A643" s="114"/>
      <c r="B643" s="114"/>
      <c r="C643" s="114"/>
      <c r="D643" s="114"/>
      <c r="E643" s="114"/>
      <c r="F643" s="114"/>
      <c r="G643" s="121"/>
      <c r="H643" s="42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</row>
    <row r="644">
      <c r="A644" s="114"/>
      <c r="B644" s="114"/>
      <c r="C644" s="114"/>
      <c r="D644" s="114"/>
      <c r="E644" s="114"/>
      <c r="F644" s="114"/>
      <c r="G644" s="121"/>
      <c r="H644" s="42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</row>
    <row r="645">
      <c r="A645" s="114"/>
      <c r="B645" s="114"/>
      <c r="C645" s="114"/>
      <c r="D645" s="114"/>
      <c r="E645" s="114"/>
      <c r="F645" s="114"/>
      <c r="G645" s="121"/>
      <c r="H645" s="42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</row>
    <row r="646">
      <c r="A646" s="114"/>
      <c r="B646" s="114"/>
      <c r="C646" s="114"/>
      <c r="D646" s="114"/>
      <c r="E646" s="114"/>
      <c r="F646" s="114"/>
      <c r="G646" s="121"/>
      <c r="H646" s="42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</row>
    <row r="647">
      <c r="A647" s="114"/>
      <c r="B647" s="114"/>
      <c r="C647" s="114"/>
      <c r="D647" s="114"/>
      <c r="E647" s="114"/>
      <c r="F647" s="114"/>
      <c r="G647" s="121"/>
      <c r="H647" s="42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</row>
    <row r="648">
      <c r="A648" s="114"/>
      <c r="B648" s="114"/>
      <c r="C648" s="114"/>
      <c r="D648" s="114"/>
      <c r="E648" s="114"/>
      <c r="F648" s="114"/>
      <c r="G648" s="121"/>
      <c r="H648" s="42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</row>
    <row r="649">
      <c r="A649" s="114"/>
      <c r="B649" s="114"/>
      <c r="C649" s="114"/>
      <c r="D649" s="114"/>
      <c r="E649" s="114"/>
      <c r="F649" s="114"/>
      <c r="G649" s="121"/>
      <c r="H649" s="42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</row>
    <row r="650">
      <c r="A650" s="114"/>
      <c r="B650" s="114"/>
      <c r="C650" s="114"/>
      <c r="D650" s="114"/>
      <c r="E650" s="114"/>
      <c r="F650" s="114"/>
      <c r="G650" s="121"/>
      <c r="H650" s="42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</row>
    <row r="651">
      <c r="A651" s="114"/>
      <c r="B651" s="114"/>
      <c r="C651" s="114"/>
      <c r="D651" s="114"/>
      <c r="E651" s="114"/>
      <c r="F651" s="114"/>
      <c r="G651" s="121"/>
      <c r="H651" s="42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</row>
    <row r="652">
      <c r="A652" s="114"/>
      <c r="B652" s="114"/>
      <c r="C652" s="114"/>
      <c r="D652" s="114"/>
      <c r="E652" s="114"/>
      <c r="F652" s="114"/>
      <c r="G652" s="121"/>
      <c r="H652" s="42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</row>
    <row r="653">
      <c r="A653" s="114"/>
      <c r="B653" s="114"/>
      <c r="C653" s="114"/>
      <c r="D653" s="114"/>
      <c r="E653" s="114"/>
      <c r="F653" s="114"/>
      <c r="G653" s="121"/>
      <c r="H653" s="42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</row>
    <row r="654">
      <c r="A654" s="114"/>
      <c r="B654" s="114"/>
      <c r="C654" s="114"/>
      <c r="D654" s="114"/>
      <c r="E654" s="114"/>
      <c r="F654" s="114"/>
      <c r="G654" s="121"/>
      <c r="H654" s="42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</row>
    <row r="655">
      <c r="A655" s="114"/>
      <c r="B655" s="114"/>
      <c r="C655" s="114"/>
      <c r="D655" s="114"/>
      <c r="E655" s="114"/>
      <c r="F655" s="114"/>
      <c r="G655" s="121"/>
      <c r="H655" s="42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</row>
    <row r="656">
      <c r="A656" s="114"/>
      <c r="B656" s="114"/>
      <c r="C656" s="114"/>
      <c r="D656" s="114"/>
      <c r="E656" s="114"/>
      <c r="F656" s="114"/>
      <c r="G656" s="121"/>
      <c r="H656" s="42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</row>
    <row r="657">
      <c r="A657" s="114"/>
      <c r="B657" s="114"/>
      <c r="C657" s="114"/>
      <c r="D657" s="114"/>
      <c r="E657" s="114"/>
      <c r="F657" s="114"/>
      <c r="G657" s="121"/>
      <c r="H657" s="42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</row>
    <row r="658">
      <c r="A658" s="114"/>
      <c r="B658" s="114"/>
      <c r="C658" s="114"/>
      <c r="D658" s="114"/>
      <c r="E658" s="114"/>
      <c r="F658" s="114"/>
      <c r="G658" s="121"/>
      <c r="H658" s="42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</row>
    <row r="659">
      <c r="A659" s="114"/>
      <c r="B659" s="114"/>
      <c r="C659" s="114"/>
      <c r="D659" s="114"/>
      <c r="E659" s="114"/>
      <c r="F659" s="114"/>
      <c r="G659" s="121"/>
      <c r="H659" s="42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</row>
    <row r="660">
      <c r="A660" s="114"/>
      <c r="B660" s="114"/>
      <c r="C660" s="114"/>
      <c r="D660" s="114"/>
      <c r="E660" s="114"/>
      <c r="F660" s="114"/>
      <c r="G660" s="121"/>
      <c r="H660" s="42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</row>
    <row r="661">
      <c r="A661" s="114"/>
      <c r="B661" s="114"/>
      <c r="C661" s="114"/>
      <c r="D661" s="114"/>
      <c r="E661" s="114"/>
      <c r="F661" s="114"/>
      <c r="G661" s="121"/>
      <c r="H661" s="42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</row>
    <row r="662">
      <c r="A662" s="114"/>
      <c r="B662" s="114"/>
      <c r="C662" s="114"/>
      <c r="D662" s="114"/>
      <c r="E662" s="114"/>
      <c r="F662" s="114"/>
      <c r="G662" s="121"/>
      <c r="H662" s="42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</row>
    <row r="663">
      <c r="A663" s="114"/>
      <c r="B663" s="114"/>
      <c r="C663" s="114"/>
      <c r="D663" s="114"/>
      <c r="E663" s="114"/>
      <c r="F663" s="114"/>
      <c r="G663" s="121"/>
      <c r="H663" s="42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</row>
    <row r="664">
      <c r="A664" s="114"/>
      <c r="B664" s="114"/>
      <c r="C664" s="114"/>
      <c r="D664" s="114"/>
      <c r="E664" s="114"/>
      <c r="F664" s="114"/>
      <c r="G664" s="121"/>
      <c r="H664" s="42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</row>
    <row r="665">
      <c r="A665" s="114"/>
      <c r="B665" s="114"/>
      <c r="C665" s="114"/>
      <c r="D665" s="114"/>
      <c r="E665" s="114"/>
      <c r="F665" s="114"/>
      <c r="G665" s="121"/>
      <c r="H665" s="42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</row>
    <row r="666">
      <c r="A666" s="114"/>
      <c r="B666" s="114"/>
      <c r="C666" s="114"/>
      <c r="D666" s="114"/>
      <c r="E666" s="114"/>
      <c r="F666" s="114"/>
      <c r="G666" s="121"/>
      <c r="H666" s="42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</row>
    <row r="667">
      <c r="A667" s="114"/>
      <c r="B667" s="114"/>
      <c r="C667" s="114"/>
      <c r="D667" s="114"/>
      <c r="E667" s="114"/>
      <c r="F667" s="114"/>
      <c r="G667" s="121"/>
      <c r="H667" s="42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</row>
    <row r="668">
      <c r="A668" s="114"/>
      <c r="B668" s="114"/>
      <c r="C668" s="114"/>
      <c r="D668" s="114"/>
      <c r="E668" s="114"/>
      <c r="F668" s="114"/>
      <c r="G668" s="121"/>
      <c r="H668" s="42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</row>
    <row r="669">
      <c r="A669" s="114"/>
      <c r="B669" s="114"/>
      <c r="C669" s="114"/>
      <c r="D669" s="114"/>
      <c r="E669" s="114"/>
      <c r="F669" s="114"/>
      <c r="G669" s="121"/>
      <c r="H669" s="42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</row>
    <row r="670">
      <c r="A670" s="114"/>
      <c r="B670" s="114"/>
      <c r="C670" s="114"/>
      <c r="D670" s="114"/>
      <c r="E670" s="114"/>
      <c r="F670" s="114"/>
      <c r="G670" s="121"/>
      <c r="H670" s="42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</row>
    <row r="671">
      <c r="A671" s="114"/>
      <c r="B671" s="114"/>
      <c r="C671" s="114"/>
      <c r="D671" s="114"/>
      <c r="E671" s="114"/>
      <c r="F671" s="114"/>
      <c r="G671" s="121"/>
      <c r="H671" s="42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</row>
    <row r="672">
      <c r="A672" s="114"/>
      <c r="B672" s="114"/>
      <c r="C672" s="114"/>
      <c r="D672" s="114"/>
      <c r="E672" s="114"/>
      <c r="F672" s="114"/>
      <c r="G672" s="121"/>
      <c r="H672" s="42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</row>
    <row r="673">
      <c r="A673" s="114"/>
      <c r="B673" s="114"/>
      <c r="C673" s="114"/>
      <c r="D673" s="114"/>
      <c r="E673" s="114"/>
      <c r="F673" s="114"/>
      <c r="G673" s="121"/>
      <c r="H673" s="42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</row>
    <row r="674">
      <c r="A674" s="114"/>
      <c r="B674" s="114"/>
      <c r="C674" s="114"/>
      <c r="D674" s="114"/>
      <c r="E674" s="114"/>
      <c r="F674" s="114"/>
      <c r="G674" s="121"/>
      <c r="H674" s="42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</row>
    <row r="675">
      <c r="A675" s="114"/>
      <c r="B675" s="114"/>
      <c r="C675" s="114"/>
      <c r="D675" s="114"/>
      <c r="E675" s="114"/>
      <c r="F675" s="114"/>
      <c r="G675" s="121"/>
      <c r="H675" s="42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</row>
    <row r="676">
      <c r="A676" s="114"/>
      <c r="B676" s="114"/>
      <c r="C676" s="114"/>
      <c r="D676" s="114"/>
      <c r="E676" s="114"/>
      <c r="F676" s="114"/>
      <c r="G676" s="121"/>
      <c r="H676" s="42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</row>
    <row r="677">
      <c r="A677" s="114"/>
      <c r="B677" s="114"/>
      <c r="C677" s="114"/>
      <c r="D677" s="114"/>
      <c r="E677" s="114"/>
      <c r="F677" s="114"/>
      <c r="G677" s="121"/>
      <c r="H677" s="42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</row>
    <row r="678">
      <c r="A678" s="114"/>
      <c r="B678" s="114"/>
      <c r="C678" s="114"/>
      <c r="D678" s="114"/>
      <c r="E678" s="114"/>
      <c r="F678" s="114"/>
      <c r="G678" s="121"/>
      <c r="H678" s="42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</row>
    <row r="679">
      <c r="A679" s="114"/>
      <c r="B679" s="114"/>
      <c r="C679" s="114"/>
      <c r="D679" s="114"/>
      <c r="E679" s="114"/>
      <c r="F679" s="114"/>
      <c r="G679" s="121"/>
      <c r="H679" s="42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</row>
    <row r="680">
      <c r="A680" s="114"/>
      <c r="B680" s="114"/>
      <c r="C680" s="114"/>
      <c r="D680" s="114"/>
      <c r="E680" s="114"/>
      <c r="F680" s="114"/>
      <c r="G680" s="121"/>
      <c r="H680" s="42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</row>
    <row r="681">
      <c r="A681" s="114"/>
      <c r="B681" s="114"/>
      <c r="C681" s="114"/>
      <c r="D681" s="114"/>
      <c r="E681" s="114"/>
      <c r="F681" s="114"/>
      <c r="G681" s="121"/>
      <c r="H681" s="42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</row>
    <row r="682">
      <c r="A682" s="114"/>
      <c r="B682" s="114"/>
      <c r="C682" s="114"/>
      <c r="D682" s="114"/>
      <c r="E682" s="114"/>
      <c r="F682" s="114"/>
      <c r="G682" s="121"/>
      <c r="H682" s="42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</row>
    <row r="683">
      <c r="A683" s="114"/>
      <c r="B683" s="114"/>
      <c r="C683" s="114"/>
      <c r="D683" s="114"/>
      <c r="E683" s="114"/>
      <c r="F683" s="114"/>
      <c r="G683" s="121"/>
      <c r="H683" s="42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</row>
    <row r="684">
      <c r="A684" s="114"/>
      <c r="B684" s="114"/>
      <c r="C684" s="114"/>
      <c r="D684" s="114"/>
      <c r="E684" s="114"/>
      <c r="F684" s="114"/>
      <c r="G684" s="121"/>
      <c r="H684" s="42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</row>
    <row r="685">
      <c r="A685" s="114"/>
      <c r="B685" s="114"/>
      <c r="C685" s="114"/>
      <c r="D685" s="114"/>
      <c r="E685" s="114"/>
      <c r="F685" s="114"/>
      <c r="G685" s="121"/>
      <c r="H685" s="42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</row>
    <row r="686">
      <c r="A686" s="114"/>
      <c r="B686" s="114"/>
      <c r="C686" s="114"/>
      <c r="D686" s="114"/>
      <c r="E686" s="114"/>
      <c r="F686" s="114"/>
      <c r="G686" s="121"/>
      <c r="H686" s="42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</row>
    <row r="687">
      <c r="A687" s="114"/>
      <c r="B687" s="114"/>
      <c r="C687" s="114"/>
      <c r="D687" s="114"/>
      <c r="E687" s="114"/>
      <c r="F687" s="114"/>
      <c r="G687" s="121"/>
      <c r="H687" s="42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</row>
    <row r="688">
      <c r="A688" s="114"/>
      <c r="B688" s="114"/>
      <c r="C688" s="114"/>
      <c r="D688" s="114"/>
      <c r="E688" s="114"/>
      <c r="F688" s="114"/>
      <c r="G688" s="121"/>
      <c r="H688" s="42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</row>
    <row r="689">
      <c r="A689" s="114"/>
      <c r="B689" s="114"/>
      <c r="C689" s="114"/>
      <c r="D689" s="114"/>
      <c r="E689" s="114"/>
      <c r="F689" s="114"/>
      <c r="G689" s="121"/>
      <c r="H689" s="42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</row>
    <row r="690">
      <c r="A690" s="114"/>
      <c r="B690" s="114"/>
      <c r="C690" s="114"/>
      <c r="D690" s="114"/>
      <c r="E690" s="114"/>
      <c r="F690" s="114"/>
      <c r="G690" s="121"/>
      <c r="H690" s="42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</row>
    <row r="691">
      <c r="A691" s="114"/>
      <c r="B691" s="114"/>
      <c r="C691" s="114"/>
      <c r="D691" s="114"/>
      <c r="E691" s="114"/>
      <c r="F691" s="114"/>
      <c r="G691" s="121"/>
      <c r="H691" s="42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</row>
    <row r="692">
      <c r="A692" s="114"/>
      <c r="B692" s="114"/>
      <c r="C692" s="114"/>
      <c r="D692" s="114"/>
      <c r="E692" s="114"/>
      <c r="F692" s="114"/>
      <c r="G692" s="121"/>
      <c r="H692" s="42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</row>
    <row r="693">
      <c r="A693" s="114"/>
      <c r="B693" s="114"/>
      <c r="C693" s="114"/>
      <c r="D693" s="114"/>
      <c r="E693" s="114"/>
      <c r="F693" s="114"/>
      <c r="G693" s="121"/>
      <c r="H693" s="42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</row>
    <row r="694">
      <c r="A694" s="114"/>
      <c r="B694" s="114"/>
      <c r="C694" s="114"/>
      <c r="D694" s="114"/>
      <c r="E694" s="114"/>
      <c r="F694" s="114"/>
      <c r="G694" s="121"/>
      <c r="H694" s="42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</row>
    <row r="695">
      <c r="A695" s="114"/>
      <c r="B695" s="114"/>
      <c r="C695" s="114"/>
      <c r="D695" s="114"/>
      <c r="E695" s="114"/>
      <c r="F695" s="114"/>
      <c r="G695" s="121"/>
      <c r="H695" s="42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</row>
    <row r="696">
      <c r="A696" s="114"/>
      <c r="B696" s="114"/>
      <c r="C696" s="114"/>
      <c r="D696" s="114"/>
      <c r="E696" s="114"/>
      <c r="F696" s="114"/>
      <c r="G696" s="121"/>
      <c r="H696" s="42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</row>
    <row r="697">
      <c r="A697" s="114"/>
      <c r="B697" s="114"/>
      <c r="C697" s="114"/>
      <c r="D697" s="114"/>
      <c r="E697" s="114"/>
      <c r="F697" s="114"/>
      <c r="G697" s="121"/>
      <c r="H697" s="42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</row>
    <row r="698">
      <c r="A698" s="114"/>
      <c r="B698" s="114"/>
      <c r="C698" s="114"/>
      <c r="D698" s="114"/>
      <c r="E698" s="114"/>
      <c r="F698" s="114"/>
      <c r="G698" s="121"/>
      <c r="H698" s="42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</row>
    <row r="699">
      <c r="A699" s="114"/>
      <c r="B699" s="114"/>
      <c r="C699" s="114"/>
      <c r="D699" s="114"/>
      <c r="E699" s="114"/>
      <c r="F699" s="114"/>
      <c r="G699" s="121"/>
      <c r="H699" s="42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</row>
    <row r="700">
      <c r="A700" s="114"/>
      <c r="B700" s="114"/>
      <c r="C700" s="114"/>
      <c r="D700" s="114"/>
      <c r="E700" s="114"/>
      <c r="F700" s="114"/>
      <c r="G700" s="121"/>
      <c r="H700" s="42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</row>
    <row r="701">
      <c r="A701" s="114"/>
      <c r="B701" s="114"/>
      <c r="C701" s="114"/>
      <c r="D701" s="114"/>
      <c r="E701" s="114"/>
      <c r="F701" s="114"/>
      <c r="G701" s="121"/>
      <c r="H701" s="42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</row>
    <row r="702">
      <c r="A702" s="114"/>
      <c r="B702" s="114"/>
      <c r="C702" s="114"/>
      <c r="D702" s="114"/>
      <c r="E702" s="114"/>
      <c r="F702" s="114"/>
      <c r="G702" s="121"/>
      <c r="H702" s="42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</row>
    <row r="703">
      <c r="A703" s="114"/>
      <c r="B703" s="114"/>
      <c r="C703" s="114"/>
      <c r="D703" s="114"/>
      <c r="E703" s="114"/>
      <c r="F703" s="114"/>
      <c r="G703" s="121"/>
      <c r="H703" s="42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</row>
    <row r="704">
      <c r="A704" s="114"/>
      <c r="B704" s="114"/>
      <c r="C704" s="114"/>
      <c r="D704" s="114"/>
      <c r="E704" s="114"/>
      <c r="F704" s="114"/>
      <c r="G704" s="121"/>
      <c r="H704" s="42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</row>
    <row r="705">
      <c r="A705" s="114"/>
      <c r="B705" s="114"/>
      <c r="C705" s="114"/>
      <c r="D705" s="114"/>
      <c r="E705" s="114"/>
      <c r="F705" s="114"/>
      <c r="G705" s="121"/>
      <c r="H705" s="42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</row>
    <row r="706">
      <c r="A706" s="114"/>
      <c r="B706" s="114"/>
      <c r="C706" s="114"/>
      <c r="D706" s="114"/>
      <c r="E706" s="114"/>
      <c r="F706" s="114"/>
      <c r="G706" s="121"/>
      <c r="H706" s="42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</row>
    <row r="707">
      <c r="A707" s="114"/>
      <c r="B707" s="114"/>
      <c r="C707" s="114"/>
      <c r="D707" s="114"/>
      <c r="E707" s="114"/>
      <c r="F707" s="114"/>
      <c r="G707" s="121"/>
      <c r="H707" s="42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</row>
    <row r="708">
      <c r="A708" s="114"/>
      <c r="B708" s="114"/>
      <c r="C708" s="114"/>
      <c r="D708" s="114"/>
      <c r="E708" s="114"/>
      <c r="F708" s="114"/>
      <c r="G708" s="121"/>
      <c r="H708" s="42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</row>
    <row r="709">
      <c r="A709" s="114"/>
      <c r="B709" s="114"/>
      <c r="C709" s="114"/>
      <c r="D709" s="114"/>
      <c r="E709" s="114"/>
      <c r="F709" s="114"/>
      <c r="G709" s="121"/>
      <c r="H709" s="42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</row>
    <row r="710">
      <c r="A710" s="114"/>
      <c r="B710" s="114"/>
      <c r="C710" s="114"/>
      <c r="D710" s="114"/>
      <c r="E710" s="114"/>
      <c r="F710" s="114"/>
      <c r="G710" s="121"/>
      <c r="H710" s="42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</row>
    <row r="711">
      <c r="A711" s="114"/>
      <c r="B711" s="114"/>
      <c r="C711" s="114"/>
      <c r="D711" s="114"/>
      <c r="E711" s="114"/>
      <c r="F711" s="114"/>
      <c r="G711" s="121"/>
      <c r="H711" s="42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</row>
    <row r="712">
      <c r="A712" s="114"/>
      <c r="B712" s="114"/>
      <c r="C712" s="114"/>
      <c r="D712" s="114"/>
      <c r="E712" s="114"/>
      <c r="F712" s="114"/>
      <c r="G712" s="121"/>
      <c r="H712" s="42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</row>
    <row r="713">
      <c r="A713" s="114"/>
      <c r="B713" s="114"/>
      <c r="C713" s="114"/>
      <c r="D713" s="114"/>
      <c r="E713" s="114"/>
      <c r="F713" s="114"/>
      <c r="G713" s="121"/>
      <c r="H713" s="42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</row>
    <row r="714">
      <c r="A714" s="114"/>
      <c r="B714" s="114"/>
      <c r="C714" s="114"/>
      <c r="D714" s="114"/>
      <c r="E714" s="114"/>
      <c r="F714" s="114"/>
      <c r="G714" s="121"/>
      <c r="H714" s="42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</row>
    <row r="715">
      <c r="A715" s="114"/>
      <c r="B715" s="114"/>
      <c r="C715" s="114"/>
      <c r="D715" s="114"/>
      <c r="E715" s="114"/>
      <c r="F715" s="114"/>
      <c r="G715" s="121"/>
      <c r="H715" s="42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</row>
    <row r="716">
      <c r="A716" s="114"/>
      <c r="B716" s="114"/>
      <c r="C716" s="114"/>
      <c r="D716" s="114"/>
      <c r="E716" s="114"/>
      <c r="F716" s="114"/>
      <c r="G716" s="121"/>
      <c r="H716" s="42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</row>
    <row r="717">
      <c r="A717" s="114"/>
      <c r="B717" s="114"/>
      <c r="C717" s="114"/>
      <c r="D717" s="114"/>
      <c r="E717" s="114"/>
      <c r="F717" s="114"/>
      <c r="G717" s="121"/>
      <c r="H717" s="42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</row>
    <row r="718">
      <c r="A718" s="114"/>
      <c r="B718" s="114"/>
      <c r="C718" s="114"/>
      <c r="D718" s="114"/>
      <c r="E718" s="114"/>
      <c r="F718" s="114"/>
      <c r="G718" s="121"/>
      <c r="H718" s="42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</row>
    <row r="719">
      <c r="A719" s="114"/>
      <c r="B719" s="114"/>
      <c r="C719" s="114"/>
      <c r="D719" s="114"/>
      <c r="E719" s="114"/>
      <c r="F719" s="114"/>
      <c r="G719" s="121"/>
      <c r="H719" s="42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</row>
    <row r="720">
      <c r="A720" s="114"/>
      <c r="B720" s="114"/>
      <c r="C720" s="114"/>
      <c r="D720" s="114"/>
      <c r="E720" s="114"/>
      <c r="F720" s="114"/>
      <c r="G720" s="121"/>
      <c r="H720" s="42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</row>
    <row r="721">
      <c r="A721" s="114"/>
      <c r="B721" s="114"/>
      <c r="C721" s="114"/>
      <c r="D721" s="114"/>
      <c r="E721" s="114"/>
      <c r="F721" s="114"/>
      <c r="G721" s="121"/>
      <c r="H721" s="42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</row>
    <row r="722">
      <c r="A722" s="114"/>
      <c r="B722" s="114"/>
      <c r="C722" s="114"/>
      <c r="D722" s="114"/>
      <c r="E722" s="114"/>
      <c r="F722" s="114"/>
      <c r="G722" s="121"/>
      <c r="H722" s="42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</row>
    <row r="723">
      <c r="A723" s="114"/>
      <c r="B723" s="114"/>
      <c r="C723" s="114"/>
      <c r="D723" s="114"/>
      <c r="E723" s="114"/>
      <c r="F723" s="114"/>
      <c r="G723" s="121"/>
      <c r="H723" s="42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</row>
    <row r="724">
      <c r="A724" s="114"/>
      <c r="B724" s="114"/>
      <c r="C724" s="114"/>
      <c r="D724" s="114"/>
      <c r="E724" s="114"/>
      <c r="F724" s="114"/>
      <c r="G724" s="121"/>
      <c r="H724" s="42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</row>
    <row r="725">
      <c r="A725" s="114"/>
      <c r="B725" s="114"/>
      <c r="C725" s="114"/>
      <c r="D725" s="114"/>
      <c r="E725" s="114"/>
      <c r="F725" s="114"/>
      <c r="G725" s="121"/>
      <c r="H725" s="42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</row>
    <row r="726">
      <c r="A726" s="114"/>
      <c r="B726" s="114"/>
      <c r="C726" s="114"/>
      <c r="D726" s="114"/>
      <c r="E726" s="114"/>
      <c r="F726" s="114"/>
      <c r="G726" s="121"/>
      <c r="H726" s="42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</row>
    <row r="727">
      <c r="A727" s="114"/>
      <c r="B727" s="114"/>
      <c r="C727" s="114"/>
      <c r="D727" s="114"/>
      <c r="E727" s="114"/>
      <c r="F727" s="114"/>
      <c r="G727" s="121"/>
      <c r="H727" s="42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</row>
    <row r="728">
      <c r="A728" s="114"/>
      <c r="B728" s="114"/>
      <c r="C728" s="114"/>
      <c r="D728" s="114"/>
      <c r="E728" s="114"/>
      <c r="F728" s="114"/>
      <c r="G728" s="121"/>
      <c r="H728" s="42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</row>
    <row r="729">
      <c r="A729" s="114"/>
      <c r="B729" s="114"/>
      <c r="C729" s="114"/>
      <c r="D729" s="114"/>
      <c r="E729" s="114"/>
      <c r="F729" s="114"/>
      <c r="G729" s="121"/>
      <c r="H729" s="42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</row>
    <row r="730">
      <c r="A730" s="114"/>
      <c r="B730" s="114"/>
      <c r="C730" s="114"/>
      <c r="D730" s="114"/>
      <c r="E730" s="114"/>
      <c r="F730" s="114"/>
      <c r="G730" s="121"/>
      <c r="H730" s="42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</row>
    <row r="731">
      <c r="A731" s="114"/>
      <c r="B731" s="114"/>
      <c r="C731" s="114"/>
      <c r="D731" s="114"/>
      <c r="E731" s="114"/>
      <c r="F731" s="114"/>
      <c r="G731" s="121"/>
      <c r="H731" s="42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</row>
    <row r="732">
      <c r="A732" s="114"/>
      <c r="B732" s="114"/>
      <c r="C732" s="114"/>
      <c r="D732" s="114"/>
      <c r="E732" s="114"/>
      <c r="F732" s="114"/>
      <c r="G732" s="121"/>
      <c r="H732" s="42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</row>
    <row r="733">
      <c r="A733" s="114"/>
      <c r="B733" s="114"/>
      <c r="C733" s="114"/>
      <c r="D733" s="114"/>
      <c r="E733" s="114"/>
      <c r="F733" s="114"/>
      <c r="G733" s="121"/>
      <c r="H733" s="42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</row>
    <row r="734">
      <c r="A734" s="114"/>
      <c r="B734" s="114"/>
      <c r="C734" s="114"/>
      <c r="D734" s="114"/>
      <c r="E734" s="114"/>
      <c r="F734" s="114"/>
      <c r="G734" s="121"/>
      <c r="H734" s="42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</row>
    <row r="735">
      <c r="A735" s="114"/>
      <c r="B735" s="114"/>
      <c r="C735" s="114"/>
      <c r="D735" s="114"/>
      <c r="E735" s="114"/>
      <c r="F735" s="114"/>
      <c r="G735" s="121"/>
      <c r="H735" s="42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</row>
    <row r="736">
      <c r="A736" s="114"/>
      <c r="B736" s="114"/>
      <c r="C736" s="114"/>
      <c r="D736" s="114"/>
      <c r="E736" s="114"/>
      <c r="F736" s="114"/>
      <c r="G736" s="121"/>
      <c r="H736" s="42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</row>
    <row r="737">
      <c r="A737" s="114"/>
      <c r="B737" s="114"/>
      <c r="C737" s="114"/>
      <c r="D737" s="114"/>
      <c r="E737" s="114"/>
      <c r="F737" s="114"/>
      <c r="G737" s="121"/>
      <c r="H737" s="42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</row>
    <row r="738">
      <c r="A738" s="114"/>
      <c r="B738" s="114"/>
      <c r="C738" s="114"/>
      <c r="D738" s="114"/>
      <c r="E738" s="114"/>
      <c r="F738" s="114"/>
      <c r="G738" s="121"/>
      <c r="H738" s="42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</row>
    <row r="739">
      <c r="A739" s="114"/>
      <c r="B739" s="114"/>
      <c r="C739" s="114"/>
      <c r="D739" s="114"/>
      <c r="E739" s="114"/>
      <c r="F739" s="114"/>
      <c r="G739" s="121"/>
      <c r="H739" s="42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</row>
    <row r="740">
      <c r="A740" s="114"/>
      <c r="B740" s="114"/>
      <c r="C740" s="114"/>
      <c r="D740" s="114"/>
      <c r="E740" s="114"/>
      <c r="F740" s="114"/>
      <c r="G740" s="121"/>
      <c r="H740" s="42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</row>
    <row r="741">
      <c r="A741" s="114"/>
      <c r="B741" s="114"/>
      <c r="C741" s="114"/>
      <c r="D741" s="114"/>
      <c r="E741" s="114"/>
      <c r="F741" s="114"/>
      <c r="G741" s="121"/>
      <c r="H741" s="42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</row>
    <row r="742">
      <c r="A742" s="114"/>
      <c r="B742" s="114"/>
      <c r="C742" s="114"/>
      <c r="D742" s="114"/>
      <c r="E742" s="114"/>
      <c r="F742" s="114"/>
      <c r="G742" s="121"/>
      <c r="H742" s="42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</row>
    <row r="743">
      <c r="A743" s="114"/>
      <c r="B743" s="114"/>
      <c r="C743" s="114"/>
      <c r="D743" s="114"/>
      <c r="E743" s="114"/>
      <c r="F743" s="114"/>
      <c r="G743" s="121"/>
      <c r="H743" s="42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</row>
    <row r="744">
      <c r="A744" s="114"/>
      <c r="B744" s="114"/>
      <c r="C744" s="114"/>
      <c r="D744" s="114"/>
      <c r="E744" s="114"/>
      <c r="F744" s="114"/>
      <c r="G744" s="121"/>
      <c r="H744" s="42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</row>
    <row r="745">
      <c r="A745" s="114"/>
      <c r="B745" s="114"/>
      <c r="C745" s="114"/>
      <c r="D745" s="114"/>
      <c r="E745" s="114"/>
      <c r="F745" s="114"/>
      <c r="G745" s="121"/>
      <c r="H745" s="42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</row>
    <row r="746">
      <c r="A746" s="114"/>
      <c r="B746" s="114"/>
      <c r="C746" s="114"/>
      <c r="D746" s="114"/>
      <c r="E746" s="114"/>
      <c r="F746" s="114"/>
      <c r="G746" s="121"/>
      <c r="H746" s="42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</row>
    <row r="747">
      <c r="A747" s="114"/>
      <c r="B747" s="114"/>
      <c r="C747" s="114"/>
      <c r="D747" s="114"/>
      <c r="E747" s="114"/>
      <c r="F747" s="114"/>
      <c r="G747" s="121"/>
      <c r="H747" s="42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</row>
    <row r="748">
      <c r="A748" s="114"/>
      <c r="B748" s="114"/>
      <c r="C748" s="114"/>
      <c r="D748" s="114"/>
      <c r="E748" s="114"/>
      <c r="F748" s="114"/>
      <c r="G748" s="121"/>
      <c r="H748" s="42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</row>
    <row r="749">
      <c r="A749" s="114"/>
      <c r="B749" s="114"/>
      <c r="C749" s="114"/>
      <c r="D749" s="114"/>
      <c r="E749" s="114"/>
      <c r="F749" s="114"/>
      <c r="G749" s="121"/>
      <c r="H749" s="42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</row>
    <row r="750">
      <c r="A750" s="114"/>
      <c r="B750" s="114"/>
      <c r="C750" s="114"/>
      <c r="D750" s="114"/>
      <c r="E750" s="114"/>
      <c r="F750" s="114"/>
      <c r="G750" s="121"/>
      <c r="H750" s="42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</row>
    <row r="751">
      <c r="A751" s="114"/>
      <c r="B751" s="114"/>
      <c r="C751" s="114"/>
      <c r="D751" s="114"/>
      <c r="E751" s="114"/>
      <c r="F751" s="114"/>
      <c r="G751" s="121"/>
      <c r="H751" s="42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</row>
    <row r="752">
      <c r="A752" s="114"/>
      <c r="B752" s="114"/>
      <c r="C752" s="114"/>
      <c r="D752" s="114"/>
      <c r="E752" s="114"/>
      <c r="F752" s="114"/>
      <c r="G752" s="121"/>
      <c r="H752" s="42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</row>
    <row r="753">
      <c r="A753" s="114"/>
      <c r="B753" s="114"/>
      <c r="C753" s="114"/>
      <c r="D753" s="114"/>
      <c r="E753" s="114"/>
      <c r="F753" s="114"/>
      <c r="G753" s="121"/>
      <c r="H753" s="42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</row>
    <row r="754">
      <c r="A754" s="114"/>
      <c r="B754" s="114"/>
      <c r="C754" s="114"/>
      <c r="D754" s="114"/>
      <c r="E754" s="114"/>
      <c r="F754" s="114"/>
      <c r="G754" s="121"/>
      <c r="H754" s="42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</row>
    <row r="755">
      <c r="A755" s="114"/>
      <c r="B755" s="114"/>
      <c r="C755" s="114"/>
      <c r="D755" s="114"/>
      <c r="E755" s="114"/>
      <c r="F755" s="114"/>
      <c r="G755" s="121"/>
      <c r="H755" s="42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</row>
    <row r="756">
      <c r="A756" s="114"/>
      <c r="B756" s="114"/>
      <c r="C756" s="114"/>
      <c r="D756" s="114"/>
      <c r="E756" s="114"/>
      <c r="F756" s="114"/>
      <c r="G756" s="121"/>
      <c r="H756" s="42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</row>
    <row r="757">
      <c r="A757" s="114"/>
      <c r="B757" s="114"/>
      <c r="C757" s="114"/>
      <c r="D757" s="114"/>
      <c r="E757" s="114"/>
      <c r="F757" s="114"/>
      <c r="G757" s="121"/>
      <c r="H757" s="42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</row>
    <row r="758">
      <c r="A758" s="114"/>
      <c r="B758" s="114"/>
      <c r="C758" s="114"/>
      <c r="D758" s="114"/>
      <c r="E758" s="114"/>
      <c r="F758" s="114"/>
      <c r="G758" s="121"/>
      <c r="H758" s="42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</row>
    <row r="759">
      <c r="A759" s="114"/>
      <c r="B759" s="114"/>
      <c r="C759" s="114"/>
      <c r="D759" s="114"/>
      <c r="E759" s="114"/>
      <c r="F759" s="114"/>
      <c r="G759" s="121"/>
      <c r="H759" s="42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</row>
    <row r="760">
      <c r="A760" s="114"/>
      <c r="B760" s="114"/>
      <c r="C760" s="114"/>
      <c r="D760" s="114"/>
      <c r="E760" s="114"/>
      <c r="F760" s="114"/>
      <c r="G760" s="121"/>
      <c r="H760" s="42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</row>
    <row r="761">
      <c r="A761" s="114"/>
      <c r="B761" s="114"/>
      <c r="C761" s="114"/>
      <c r="D761" s="114"/>
      <c r="E761" s="114"/>
      <c r="F761" s="114"/>
      <c r="G761" s="121"/>
      <c r="H761" s="42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</row>
    <row r="762">
      <c r="A762" s="114"/>
      <c r="B762" s="114"/>
      <c r="C762" s="114"/>
      <c r="D762" s="114"/>
      <c r="E762" s="114"/>
      <c r="F762" s="114"/>
      <c r="G762" s="121"/>
      <c r="H762" s="42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</row>
    <row r="763">
      <c r="A763" s="114"/>
      <c r="B763" s="114"/>
      <c r="C763" s="114"/>
      <c r="D763" s="114"/>
      <c r="E763" s="114"/>
      <c r="F763" s="114"/>
      <c r="G763" s="121"/>
      <c r="H763" s="42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</row>
    <row r="764">
      <c r="A764" s="114"/>
      <c r="B764" s="114"/>
      <c r="C764" s="114"/>
      <c r="D764" s="114"/>
      <c r="E764" s="114"/>
      <c r="F764" s="114"/>
      <c r="G764" s="121"/>
      <c r="H764" s="42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</row>
    <row r="765">
      <c r="A765" s="114"/>
      <c r="B765" s="114"/>
      <c r="C765" s="114"/>
      <c r="D765" s="114"/>
      <c r="E765" s="114"/>
      <c r="F765" s="114"/>
      <c r="G765" s="121"/>
      <c r="H765" s="42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</row>
    <row r="766">
      <c r="A766" s="114"/>
      <c r="B766" s="114"/>
      <c r="C766" s="114"/>
      <c r="D766" s="114"/>
      <c r="E766" s="114"/>
      <c r="F766" s="114"/>
      <c r="G766" s="121"/>
      <c r="H766" s="42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</row>
    <row r="767">
      <c r="A767" s="114"/>
      <c r="B767" s="114"/>
      <c r="C767" s="114"/>
      <c r="D767" s="114"/>
      <c r="E767" s="114"/>
      <c r="F767" s="114"/>
      <c r="G767" s="121"/>
      <c r="H767" s="42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</row>
    <row r="768">
      <c r="A768" s="114"/>
      <c r="B768" s="114"/>
      <c r="C768" s="114"/>
      <c r="D768" s="114"/>
      <c r="E768" s="114"/>
      <c r="F768" s="114"/>
      <c r="G768" s="121"/>
      <c r="H768" s="42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</row>
    <row r="769">
      <c r="A769" s="114"/>
      <c r="B769" s="114"/>
      <c r="C769" s="114"/>
      <c r="D769" s="114"/>
      <c r="E769" s="114"/>
      <c r="F769" s="114"/>
      <c r="G769" s="121"/>
      <c r="H769" s="42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</row>
    <row r="770">
      <c r="A770" s="114"/>
      <c r="B770" s="114"/>
      <c r="C770" s="114"/>
      <c r="D770" s="114"/>
      <c r="E770" s="114"/>
      <c r="F770" s="114"/>
      <c r="G770" s="121"/>
      <c r="H770" s="42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</row>
    <row r="771">
      <c r="A771" s="114"/>
      <c r="B771" s="114"/>
      <c r="C771" s="114"/>
      <c r="D771" s="114"/>
      <c r="E771" s="114"/>
      <c r="F771" s="114"/>
      <c r="G771" s="121"/>
      <c r="H771" s="42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</row>
    <row r="772">
      <c r="A772" s="114"/>
      <c r="B772" s="114"/>
      <c r="C772" s="114"/>
      <c r="D772" s="114"/>
      <c r="E772" s="114"/>
      <c r="F772" s="114"/>
      <c r="G772" s="121"/>
      <c r="H772" s="42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</row>
    <row r="773">
      <c r="A773" s="114"/>
      <c r="B773" s="114"/>
      <c r="C773" s="114"/>
      <c r="D773" s="114"/>
      <c r="E773" s="114"/>
      <c r="F773" s="114"/>
      <c r="G773" s="121"/>
      <c r="H773" s="42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</row>
    <row r="774">
      <c r="A774" s="114"/>
      <c r="B774" s="114"/>
      <c r="C774" s="114"/>
      <c r="D774" s="114"/>
      <c r="E774" s="114"/>
      <c r="F774" s="114"/>
      <c r="G774" s="121"/>
      <c r="H774" s="42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</row>
    <row r="775">
      <c r="A775" s="114"/>
      <c r="B775" s="114"/>
      <c r="C775" s="114"/>
      <c r="D775" s="114"/>
      <c r="E775" s="114"/>
      <c r="F775" s="114"/>
      <c r="G775" s="121"/>
      <c r="H775" s="42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</row>
    <row r="776">
      <c r="A776" s="114"/>
      <c r="B776" s="114"/>
      <c r="C776" s="114"/>
      <c r="D776" s="114"/>
      <c r="E776" s="114"/>
      <c r="F776" s="114"/>
      <c r="G776" s="121"/>
      <c r="H776" s="42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</row>
    <row r="777">
      <c r="A777" s="114"/>
      <c r="B777" s="114"/>
      <c r="C777" s="114"/>
      <c r="D777" s="114"/>
      <c r="E777" s="114"/>
      <c r="F777" s="114"/>
      <c r="G777" s="121"/>
      <c r="H777" s="42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</row>
    <row r="778">
      <c r="A778" s="114"/>
      <c r="B778" s="114"/>
      <c r="C778" s="114"/>
      <c r="D778" s="114"/>
      <c r="E778" s="114"/>
      <c r="F778" s="114"/>
      <c r="G778" s="121"/>
      <c r="H778" s="42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</row>
    <row r="779">
      <c r="A779" s="114"/>
      <c r="B779" s="114"/>
      <c r="C779" s="114"/>
      <c r="D779" s="114"/>
      <c r="E779" s="114"/>
      <c r="F779" s="114"/>
      <c r="G779" s="121"/>
      <c r="H779" s="42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</row>
    <row r="780">
      <c r="A780" s="114"/>
      <c r="B780" s="114"/>
      <c r="C780" s="114"/>
      <c r="D780" s="114"/>
      <c r="E780" s="114"/>
      <c r="F780" s="114"/>
      <c r="G780" s="121"/>
      <c r="H780" s="42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</row>
    <row r="781">
      <c r="A781" s="114"/>
      <c r="B781" s="114"/>
      <c r="C781" s="114"/>
      <c r="D781" s="114"/>
      <c r="E781" s="114"/>
      <c r="F781" s="114"/>
      <c r="G781" s="121"/>
      <c r="H781" s="42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</row>
    <row r="782">
      <c r="A782" s="114"/>
      <c r="B782" s="114"/>
      <c r="C782" s="114"/>
      <c r="D782" s="114"/>
      <c r="E782" s="114"/>
      <c r="F782" s="114"/>
      <c r="G782" s="121"/>
      <c r="H782" s="42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</row>
    <row r="783">
      <c r="A783" s="114"/>
      <c r="B783" s="114"/>
      <c r="C783" s="114"/>
      <c r="D783" s="114"/>
      <c r="E783" s="114"/>
      <c r="F783" s="114"/>
      <c r="G783" s="121"/>
      <c r="H783" s="42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</row>
    <row r="784">
      <c r="A784" s="114"/>
      <c r="B784" s="114"/>
      <c r="C784" s="114"/>
      <c r="D784" s="114"/>
      <c r="E784" s="114"/>
      <c r="F784" s="114"/>
      <c r="G784" s="121"/>
      <c r="H784" s="42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</row>
    <row r="785">
      <c r="A785" s="114"/>
      <c r="B785" s="114"/>
      <c r="C785" s="114"/>
      <c r="D785" s="114"/>
      <c r="E785" s="114"/>
      <c r="F785" s="114"/>
      <c r="G785" s="121"/>
      <c r="H785" s="42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</row>
    <row r="786">
      <c r="A786" s="114"/>
      <c r="B786" s="114"/>
      <c r="C786" s="114"/>
      <c r="D786" s="114"/>
      <c r="E786" s="114"/>
      <c r="F786" s="114"/>
      <c r="G786" s="121"/>
      <c r="H786" s="42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</row>
    <row r="787">
      <c r="A787" s="114"/>
      <c r="B787" s="114"/>
      <c r="C787" s="114"/>
      <c r="D787" s="114"/>
      <c r="E787" s="114"/>
      <c r="F787" s="114"/>
      <c r="G787" s="121"/>
      <c r="H787" s="42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</row>
    <row r="788">
      <c r="A788" s="114"/>
      <c r="B788" s="114"/>
      <c r="C788" s="114"/>
      <c r="D788" s="114"/>
      <c r="E788" s="114"/>
      <c r="F788" s="114"/>
      <c r="G788" s="121"/>
      <c r="H788" s="42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</row>
    <row r="789">
      <c r="A789" s="114"/>
      <c r="B789" s="114"/>
      <c r="C789" s="114"/>
      <c r="D789" s="114"/>
      <c r="E789" s="114"/>
      <c r="F789" s="114"/>
      <c r="G789" s="121"/>
      <c r="H789" s="42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</row>
    <row r="790">
      <c r="A790" s="114"/>
      <c r="B790" s="114"/>
      <c r="C790" s="114"/>
      <c r="D790" s="114"/>
      <c r="E790" s="114"/>
      <c r="F790" s="114"/>
      <c r="G790" s="121"/>
      <c r="H790" s="42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</row>
    <row r="791">
      <c r="A791" s="114"/>
      <c r="B791" s="114"/>
      <c r="C791" s="114"/>
      <c r="D791" s="114"/>
      <c r="E791" s="114"/>
      <c r="F791" s="114"/>
      <c r="G791" s="121"/>
      <c r="H791" s="42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</row>
    <row r="792">
      <c r="A792" s="114"/>
      <c r="B792" s="114"/>
      <c r="C792" s="114"/>
      <c r="D792" s="114"/>
      <c r="E792" s="114"/>
      <c r="F792" s="114"/>
      <c r="G792" s="121"/>
      <c r="H792" s="42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</row>
    <row r="793">
      <c r="A793" s="114"/>
      <c r="B793" s="114"/>
      <c r="C793" s="114"/>
      <c r="D793" s="114"/>
      <c r="E793" s="114"/>
      <c r="F793" s="114"/>
      <c r="G793" s="121"/>
      <c r="H793" s="42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</row>
    <row r="794">
      <c r="A794" s="114"/>
      <c r="B794" s="114"/>
      <c r="C794" s="114"/>
      <c r="D794" s="114"/>
      <c r="E794" s="114"/>
      <c r="F794" s="114"/>
      <c r="G794" s="121"/>
      <c r="H794" s="42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</row>
    <row r="795">
      <c r="A795" s="114"/>
      <c r="B795" s="114"/>
      <c r="C795" s="114"/>
      <c r="D795" s="114"/>
      <c r="E795" s="114"/>
      <c r="F795" s="114"/>
      <c r="G795" s="121"/>
      <c r="H795" s="42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</row>
    <row r="796">
      <c r="A796" s="114"/>
      <c r="B796" s="114"/>
      <c r="C796" s="114"/>
      <c r="D796" s="114"/>
      <c r="E796" s="114"/>
      <c r="F796" s="114"/>
      <c r="G796" s="121"/>
      <c r="H796" s="42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</row>
    <row r="797">
      <c r="A797" s="114"/>
      <c r="B797" s="114"/>
      <c r="C797" s="114"/>
      <c r="D797" s="114"/>
      <c r="E797" s="114"/>
      <c r="F797" s="114"/>
      <c r="G797" s="121"/>
      <c r="H797" s="42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</row>
    <row r="798">
      <c r="A798" s="114"/>
      <c r="B798" s="114"/>
      <c r="C798" s="114"/>
      <c r="D798" s="114"/>
      <c r="E798" s="114"/>
      <c r="F798" s="114"/>
      <c r="G798" s="121"/>
      <c r="H798" s="42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</row>
    <row r="799">
      <c r="A799" s="114"/>
      <c r="B799" s="114"/>
      <c r="C799" s="114"/>
      <c r="D799" s="114"/>
      <c r="E799" s="114"/>
      <c r="F799" s="114"/>
      <c r="G799" s="121"/>
      <c r="H799" s="42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</row>
    <row r="800">
      <c r="A800" s="114"/>
      <c r="B800" s="114"/>
      <c r="C800" s="114"/>
      <c r="D800" s="114"/>
      <c r="E800" s="114"/>
      <c r="F800" s="114"/>
      <c r="G800" s="121"/>
      <c r="H800" s="42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</row>
    <row r="801">
      <c r="A801" s="114"/>
      <c r="B801" s="114"/>
      <c r="C801" s="114"/>
      <c r="D801" s="114"/>
      <c r="E801" s="114"/>
      <c r="F801" s="114"/>
      <c r="G801" s="121"/>
      <c r="H801" s="42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</row>
    <row r="802">
      <c r="A802" s="114"/>
      <c r="B802" s="114"/>
      <c r="C802" s="114"/>
      <c r="D802" s="114"/>
      <c r="E802" s="114"/>
      <c r="F802" s="114"/>
      <c r="G802" s="121"/>
      <c r="H802" s="42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</row>
    <row r="803">
      <c r="A803" s="114"/>
      <c r="B803" s="114"/>
      <c r="C803" s="114"/>
      <c r="D803" s="114"/>
      <c r="E803" s="114"/>
      <c r="F803" s="114"/>
      <c r="G803" s="121"/>
      <c r="H803" s="42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</row>
    <row r="804">
      <c r="A804" s="114"/>
      <c r="B804" s="114"/>
      <c r="C804" s="114"/>
      <c r="D804" s="114"/>
      <c r="E804" s="114"/>
      <c r="F804" s="114"/>
      <c r="G804" s="121"/>
      <c r="H804" s="42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</row>
    <row r="805">
      <c r="A805" s="114"/>
      <c r="B805" s="114"/>
      <c r="C805" s="114"/>
      <c r="D805" s="114"/>
      <c r="E805" s="114"/>
      <c r="F805" s="114"/>
      <c r="G805" s="121"/>
      <c r="H805" s="42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</row>
    <row r="806">
      <c r="A806" s="114"/>
      <c r="B806" s="114"/>
      <c r="C806" s="114"/>
      <c r="D806" s="114"/>
      <c r="E806" s="114"/>
      <c r="F806" s="114"/>
      <c r="G806" s="121"/>
      <c r="H806" s="42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</row>
    <row r="807">
      <c r="A807" s="114"/>
      <c r="B807" s="114"/>
      <c r="C807" s="114"/>
      <c r="D807" s="114"/>
      <c r="E807" s="114"/>
      <c r="F807" s="114"/>
      <c r="G807" s="121"/>
      <c r="H807" s="42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</row>
    <row r="808">
      <c r="A808" s="114"/>
      <c r="B808" s="114"/>
      <c r="C808" s="114"/>
      <c r="D808" s="114"/>
      <c r="E808" s="114"/>
      <c r="F808" s="114"/>
      <c r="G808" s="121"/>
      <c r="H808" s="42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</row>
    <row r="809">
      <c r="A809" s="114"/>
      <c r="B809" s="114"/>
      <c r="C809" s="114"/>
      <c r="D809" s="114"/>
      <c r="E809" s="114"/>
      <c r="F809" s="114"/>
      <c r="G809" s="121"/>
      <c r="H809" s="42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</row>
    <row r="810">
      <c r="A810" s="114"/>
      <c r="B810" s="114"/>
      <c r="C810" s="114"/>
      <c r="D810" s="114"/>
      <c r="E810" s="114"/>
      <c r="F810" s="114"/>
      <c r="G810" s="121"/>
      <c r="H810" s="42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</row>
    <row r="811">
      <c r="A811" s="114"/>
      <c r="B811" s="114"/>
      <c r="C811" s="114"/>
      <c r="D811" s="114"/>
      <c r="E811" s="114"/>
      <c r="F811" s="114"/>
      <c r="G811" s="121"/>
      <c r="H811" s="42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</row>
    <row r="812">
      <c r="A812" s="114"/>
      <c r="B812" s="114"/>
      <c r="C812" s="114"/>
      <c r="D812" s="114"/>
      <c r="E812" s="114"/>
      <c r="F812" s="114"/>
      <c r="G812" s="121"/>
      <c r="H812" s="42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</row>
    <row r="813">
      <c r="A813" s="114"/>
      <c r="B813" s="114"/>
      <c r="C813" s="114"/>
      <c r="D813" s="114"/>
      <c r="E813" s="114"/>
      <c r="F813" s="114"/>
      <c r="G813" s="121"/>
      <c r="H813" s="42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</row>
    <row r="814">
      <c r="A814" s="114"/>
      <c r="B814" s="114"/>
      <c r="C814" s="114"/>
      <c r="D814" s="114"/>
      <c r="E814" s="114"/>
      <c r="F814" s="114"/>
      <c r="G814" s="121"/>
      <c r="H814" s="42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</row>
    <row r="815">
      <c r="A815" s="114"/>
      <c r="B815" s="114"/>
      <c r="C815" s="114"/>
      <c r="D815" s="114"/>
      <c r="E815" s="114"/>
      <c r="F815" s="114"/>
      <c r="G815" s="121"/>
      <c r="H815" s="42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</row>
    <row r="816">
      <c r="A816" s="114"/>
      <c r="B816" s="114"/>
      <c r="C816" s="114"/>
      <c r="D816" s="114"/>
      <c r="E816" s="114"/>
      <c r="F816" s="114"/>
      <c r="G816" s="121"/>
      <c r="H816" s="42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</row>
    <row r="817">
      <c r="A817" s="114"/>
      <c r="B817" s="114"/>
      <c r="C817" s="114"/>
      <c r="D817" s="114"/>
      <c r="E817" s="114"/>
      <c r="F817" s="114"/>
      <c r="G817" s="121"/>
      <c r="H817" s="42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</row>
    <row r="818">
      <c r="A818" s="114"/>
      <c r="B818" s="114"/>
      <c r="C818" s="114"/>
      <c r="D818" s="114"/>
      <c r="E818" s="114"/>
      <c r="F818" s="114"/>
      <c r="G818" s="121"/>
      <c r="H818" s="42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</row>
    <row r="819">
      <c r="A819" s="114"/>
      <c r="B819" s="114"/>
      <c r="C819" s="114"/>
      <c r="D819" s="114"/>
      <c r="E819" s="114"/>
      <c r="F819" s="114"/>
      <c r="G819" s="121"/>
      <c r="H819" s="42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</row>
    <row r="820">
      <c r="A820" s="114"/>
      <c r="B820" s="114"/>
      <c r="C820" s="114"/>
      <c r="D820" s="114"/>
      <c r="E820" s="114"/>
      <c r="F820" s="114"/>
      <c r="G820" s="121"/>
      <c r="H820" s="42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</row>
    <row r="821">
      <c r="A821" s="114"/>
      <c r="B821" s="114"/>
      <c r="C821" s="114"/>
      <c r="D821" s="114"/>
      <c r="E821" s="114"/>
      <c r="F821" s="114"/>
      <c r="G821" s="121"/>
      <c r="H821" s="42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</row>
    <row r="822">
      <c r="A822" s="114"/>
      <c r="B822" s="114"/>
      <c r="C822" s="114"/>
      <c r="D822" s="114"/>
      <c r="E822" s="114"/>
      <c r="F822" s="114"/>
      <c r="G822" s="121"/>
      <c r="H822" s="42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</row>
    <row r="823">
      <c r="A823" s="114"/>
      <c r="B823" s="114"/>
      <c r="C823" s="114"/>
      <c r="D823" s="114"/>
      <c r="E823" s="114"/>
      <c r="F823" s="114"/>
      <c r="G823" s="121"/>
      <c r="H823" s="42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</row>
    <row r="824">
      <c r="A824" s="114"/>
      <c r="B824" s="114"/>
      <c r="C824" s="114"/>
      <c r="D824" s="114"/>
      <c r="E824" s="114"/>
      <c r="F824" s="114"/>
      <c r="G824" s="121"/>
      <c r="H824" s="42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</row>
    <row r="825">
      <c r="A825" s="114"/>
      <c r="B825" s="114"/>
      <c r="C825" s="114"/>
      <c r="D825" s="114"/>
      <c r="E825" s="114"/>
      <c r="F825" s="114"/>
      <c r="G825" s="121"/>
      <c r="H825" s="42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</row>
    <row r="826">
      <c r="A826" s="114"/>
      <c r="B826" s="114"/>
      <c r="C826" s="114"/>
      <c r="D826" s="114"/>
      <c r="E826" s="114"/>
      <c r="F826" s="114"/>
      <c r="G826" s="121"/>
      <c r="H826" s="42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</row>
    <row r="827">
      <c r="A827" s="114"/>
      <c r="B827" s="114"/>
      <c r="C827" s="114"/>
      <c r="D827" s="114"/>
      <c r="E827" s="114"/>
      <c r="F827" s="114"/>
      <c r="G827" s="121"/>
      <c r="H827" s="42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</row>
    <row r="828">
      <c r="A828" s="114"/>
      <c r="B828" s="114"/>
      <c r="C828" s="114"/>
      <c r="D828" s="114"/>
      <c r="E828" s="114"/>
      <c r="F828" s="114"/>
      <c r="G828" s="121"/>
      <c r="H828" s="42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</row>
    <row r="829">
      <c r="A829" s="114"/>
      <c r="B829" s="114"/>
      <c r="C829" s="114"/>
      <c r="D829" s="114"/>
      <c r="E829" s="114"/>
      <c r="F829" s="114"/>
      <c r="G829" s="121"/>
      <c r="H829" s="42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</row>
    <row r="830">
      <c r="A830" s="114"/>
      <c r="B830" s="114"/>
      <c r="C830" s="114"/>
      <c r="D830" s="114"/>
      <c r="E830" s="114"/>
      <c r="F830" s="114"/>
      <c r="G830" s="121"/>
      <c r="H830" s="42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</row>
    <row r="831">
      <c r="A831" s="114"/>
      <c r="B831" s="114"/>
      <c r="C831" s="114"/>
      <c r="D831" s="114"/>
      <c r="E831" s="114"/>
      <c r="F831" s="114"/>
      <c r="G831" s="121"/>
      <c r="H831" s="42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</row>
    <row r="832">
      <c r="A832" s="114"/>
      <c r="B832" s="114"/>
      <c r="C832" s="114"/>
      <c r="D832" s="114"/>
      <c r="E832" s="114"/>
      <c r="F832" s="114"/>
      <c r="G832" s="121"/>
      <c r="H832" s="42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</row>
    <row r="833">
      <c r="A833" s="114"/>
      <c r="B833" s="114"/>
      <c r="C833" s="114"/>
      <c r="D833" s="114"/>
      <c r="E833" s="114"/>
      <c r="F833" s="114"/>
      <c r="G833" s="121"/>
      <c r="H833" s="42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</row>
    <row r="834">
      <c r="A834" s="114"/>
      <c r="B834" s="114"/>
      <c r="C834" s="114"/>
      <c r="D834" s="114"/>
      <c r="E834" s="114"/>
      <c r="F834" s="114"/>
      <c r="G834" s="121"/>
      <c r="H834" s="42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</row>
    <row r="835">
      <c r="A835" s="114"/>
      <c r="B835" s="114"/>
      <c r="C835" s="114"/>
      <c r="D835" s="114"/>
      <c r="E835" s="114"/>
      <c r="F835" s="114"/>
      <c r="G835" s="121"/>
      <c r="H835" s="42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</row>
    <row r="836">
      <c r="A836" s="114"/>
      <c r="B836" s="114"/>
      <c r="C836" s="114"/>
      <c r="D836" s="114"/>
      <c r="E836" s="114"/>
      <c r="F836" s="114"/>
      <c r="G836" s="121"/>
      <c r="H836" s="42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</row>
    <row r="837">
      <c r="A837" s="114"/>
      <c r="B837" s="114"/>
      <c r="C837" s="114"/>
      <c r="D837" s="114"/>
      <c r="E837" s="114"/>
      <c r="F837" s="114"/>
      <c r="G837" s="121"/>
      <c r="H837" s="42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</row>
    <row r="838">
      <c r="A838" s="114"/>
      <c r="B838" s="114"/>
      <c r="C838" s="114"/>
      <c r="D838" s="114"/>
      <c r="E838" s="114"/>
      <c r="F838" s="114"/>
      <c r="G838" s="121"/>
      <c r="H838" s="42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</row>
    <row r="839">
      <c r="A839" s="114"/>
      <c r="B839" s="114"/>
      <c r="C839" s="114"/>
      <c r="D839" s="114"/>
      <c r="E839" s="114"/>
      <c r="F839" s="114"/>
      <c r="G839" s="121"/>
      <c r="H839" s="42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</row>
    <row r="840">
      <c r="A840" s="114"/>
      <c r="B840" s="114"/>
      <c r="C840" s="114"/>
      <c r="D840" s="114"/>
      <c r="E840" s="114"/>
      <c r="F840" s="114"/>
      <c r="G840" s="121"/>
      <c r="H840" s="42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</row>
    <row r="841">
      <c r="A841" s="114"/>
      <c r="B841" s="114"/>
      <c r="C841" s="114"/>
      <c r="D841" s="114"/>
      <c r="E841" s="114"/>
      <c r="F841" s="114"/>
      <c r="G841" s="121"/>
      <c r="H841" s="42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</row>
    <row r="842">
      <c r="A842" s="114"/>
      <c r="B842" s="114"/>
      <c r="C842" s="114"/>
      <c r="D842" s="114"/>
      <c r="E842" s="114"/>
      <c r="F842" s="114"/>
      <c r="G842" s="121"/>
      <c r="H842" s="42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</row>
    <row r="843">
      <c r="A843" s="114"/>
      <c r="B843" s="114"/>
      <c r="C843" s="114"/>
      <c r="D843" s="114"/>
      <c r="E843" s="114"/>
      <c r="F843" s="114"/>
      <c r="G843" s="121"/>
      <c r="H843" s="42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</row>
    <row r="844">
      <c r="A844" s="114"/>
      <c r="B844" s="114"/>
      <c r="C844" s="114"/>
      <c r="D844" s="114"/>
      <c r="E844" s="114"/>
      <c r="F844" s="114"/>
      <c r="G844" s="121"/>
      <c r="H844" s="42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</row>
    <row r="845">
      <c r="A845" s="114"/>
      <c r="B845" s="114"/>
      <c r="C845" s="114"/>
      <c r="D845" s="114"/>
      <c r="E845" s="114"/>
      <c r="F845" s="114"/>
      <c r="G845" s="121"/>
      <c r="H845" s="42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</row>
    <row r="846">
      <c r="A846" s="114"/>
      <c r="B846" s="114"/>
      <c r="C846" s="114"/>
      <c r="D846" s="114"/>
      <c r="E846" s="114"/>
      <c r="F846" s="114"/>
      <c r="G846" s="121"/>
      <c r="H846" s="42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</row>
    <row r="847">
      <c r="A847" s="114"/>
      <c r="B847" s="114"/>
      <c r="C847" s="114"/>
      <c r="D847" s="114"/>
      <c r="E847" s="114"/>
      <c r="F847" s="114"/>
      <c r="G847" s="121"/>
      <c r="H847" s="42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</row>
    <row r="848">
      <c r="A848" s="114"/>
      <c r="B848" s="114"/>
      <c r="C848" s="114"/>
      <c r="D848" s="114"/>
      <c r="E848" s="114"/>
      <c r="F848" s="114"/>
      <c r="G848" s="121"/>
      <c r="H848" s="42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</row>
    <row r="849">
      <c r="A849" s="114"/>
      <c r="B849" s="114"/>
      <c r="C849" s="114"/>
      <c r="D849" s="114"/>
      <c r="E849" s="114"/>
      <c r="F849" s="114"/>
      <c r="G849" s="121"/>
      <c r="H849" s="42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</row>
    <row r="850">
      <c r="A850" s="114"/>
      <c r="B850" s="114"/>
      <c r="C850" s="114"/>
      <c r="D850" s="114"/>
      <c r="E850" s="114"/>
      <c r="F850" s="114"/>
      <c r="G850" s="121"/>
      <c r="H850" s="42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</row>
    <row r="851">
      <c r="A851" s="114"/>
      <c r="B851" s="114"/>
      <c r="C851" s="114"/>
      <c r="D851" s="114"/>
      <c r="E851" s="114"/>
      <c r="F851" s="114"/>
      <c r="G851" s="121"/>
      <c r="H851" s="42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</row>
    <row r="852">
      <c r="A852" s="114"/>
      <c r="B852" s="114"/>
      <c r="C852" s="114"/>
      <c r="D852" s="114"/>
      <c r="E852" s="114"/>
      <c r="F852" s="114"/>
      <c r="G852" s="121"/>
      <c r="H852" s="42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</row>
    <row r="853">
      <c r="A853" s="114"/>
      <c r="B853" s="114"/>
      <c r="C853" s="114"/>
      <c r="D853" s="114"/>
      <c r="E853" s="114"/>
      <c r="F853" s="114"/>
      <c r="G853" s="121"/>
      <c r="H853" s="42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</row>
    <row r="854">
      <c r="A854" s="114"/>
      <c r="B854" s="114"/>
      <c r="C854" s="114"/>
      <c r="D854" s="114"/>
      <c r="E854" s="114"/>
      <c r="F854" s="114"/>
      <c r="G854" s="121"/>
      <c r="H854" s="42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</row>
    <row r="855">
      <c r="A855" s="114"/>
      <c r="B855" s="114"/>
      <c r="C855" s="114"/>
      <c r="D855" s="114"/>
      <c r="E855" s="114"/>
      <c r="F855" s="114"/>
      <c r="G855" s="121"/>
      <c r="H855" s="42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</row>
    <row r="856">
      <c r="A856" s="114"/>
      <c r="B856" s="114"/>
      <c r="C856" s="114"/>
      <c r="D856" s="114"/>
      <c r="E856" s="114"/>
      <c r="F856" s="114"/>
      <c r="G856" s="121"/>
      <c r="H856" s="42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</row>
    <row r="857">
      <c r="A857" s="114"/>
      <c r="B857" s="114"/>
      <c r="C857" s="114"/>
      <c r="D857" s="114"/>
      <c r="E857" s="114"/>
      <c r="F857" s="114"/>
      <c r="G857" s="121"/>
      <c r="H857" s="42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</row>
    <row r="858">
      <c r="A858" s="114"/>
      <c r="B858" s="114"/>
      <c r="C858" s="114"/>
      <c r="D858" s="114"/>
      <c r="E858" s="114"/>
      <c r="F858" s="114"/>
      <c r="G858" s="121"/>
      <c r="H858" s="42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</row>
    <row r="859">
      <c r="A859" s="114"/>
      <c r="B859" s="114"/>
      <c r="C859" s="114"/>
      <c r="D859" s="114"/>
      <c r="E859" s="114"/>
      <c r="F859" s="114"/>
      <c r="G859" s="121"/>
      <c r="H859" s="42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</row>
    <row r="860">
      <c r="A860" s="114"/>
      <c r="B860" s="114"/>
      <c r="C860" s="114"/>
      <c r="D860" s="114"/>
      <c r="E860" s="114"/>
      <c r="F860" s="114"/>
      <c r="G860" s="121"/>
      <c r="H860" s="42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</row>
    <row r="861">
      <c r="A861" s="114"/>
      <c r="B861" s="114"/>
      <c r="C861" s="114"/>
      <c r="D861" s="114"/>
      <c r="E861" s="114"/>
      <c r="F861" s="114"/>
      <c r="G861" s="121"/>
      <c r="H861" s="42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</row>
    <row r="862">
      <c r="A862" s="114"/>
      <c r="B862" s="114"/>
      <c r="C862" s="114"/>
      <c r="D862" s="114"/>
      <c r="E862" s="114"/>
      <c r="F862" s="114"/>
      <c r="G862" s="121"/>
      <c r="H862" s="42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</row>
    <row r="863">
      <c r="A863" s="114"/>
      <c r="B863" s="114"/>
      <c r="C863" s="114"/>
      <c r="D863" s="114"/>
      <c r="E863" s="114"/>
      <c r="F863" s="114"/>
      <c r="G863" s="121"/>
      <c r="H863" s="42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</row>
    <row r="864">
      <c r="A864" s="114"/>
      <c r="B864" s="114"/>
      <c r="C864" s="114"/>
      <c r="D864" s="114"/>
      <c r="E864" s="114"/>
      <c r="F864" s="114"/>
      <c r="G864" s="121"/>
      <c r="H864" s="42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</row>
    <row r="865">
      <c r="A865" s="114"/>
      <c r="B865" s="114"/>
      <c r="C865" s="114"/>
      <c r="D865" s="114"/>
      <c r="E865" s="114"/>
      <c r="F865" s="114"/>
      <c r="G865" s="121"/>
      <c r="H865" s="42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</row>
    <row r="866">
      <c r="A866" s="114"/>
      <c r="B866" s="114"/>
      <c r="C866" s="114"/>
      <c r="D866" s="114"/>
      <c r="E866" s="114"/>
      <c r="F866" s="114"/>
      <c r="G866" s="121"/>
      <c r="H866" s="42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</row>
    <row r="867">
      <c r="A867" s="114"/>
      <c r="B867" s="114"/>
      <c r="C867" s="114"/>
      <c r="D867" s="114"/>
      <c r="E867" s="114"/>
      <c r="F867" s="114"/>
      <c r="G867" s="121"/>
      <c r="H867" s="42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</row>
    <row r="868">
      <c r="A868" s="114"/>
      <c r="B868" s="114"/>
      <c r="C868" s="114"/>
      <c r="D868" s="114"/>
      <c r="E868" s="114"/>
      <c r="F868" s="114"/>
      <c r="G868" s="121"/>
      <c r="H868" s="42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</row>
    <row r="869">
      <c r="A869" s="114"/>
      <c r="B869" s="114"/>
      <c r="C869" s="114"/>
      <c r="D869" s="114"/>
      <c r="E869" s="114"/>
      <c r="F869" s="114"/>
      <c r="G869" s="121"/>
      <c r="H869" s="42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</row>
    <row r="870">
      <c r="A870" s="114"/>
      <c r="B870" s="114"/>
      <c r="C870" s="114"/>
      <c r="D870" s="114"/>
      <c r="E870" s="114"/>
      <c r="F870" s="114"/>
      <c r="G870" s="121"/>
      <c r="H870" s="42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</row>
    <row r="871">
      <c r="A871" s="114"/>
      <c r="B871" s="114"/>
      <c r="C871" s="114"/>
      <c r="D871" s="114"/>
      <c r="E871" s="114"/>
      <c r="F871" s="114"/>
      <c r="G871" s="121"/>
      <c r="H871" s="42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</row>
    <row r="872">
      <c r="A872" s="114"/>
      <c r="B872" s="114"/>
      <c r="C872" s="114"/>
      <c r="D872" s="114"/>
      <c r="E872" s="114"/>
      <c r="F872" s="114"/>
      <c r="G872" s="121"/>
      <c r="H872" s="42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</row>
    <row r="873">
      <c r="A873" s="114"/>
      <c r="B873" s="114"/>
      <c r="C873" s="114"/>
      <c r="D873" s="114"/>
      <c r="E873" s="114"/>
      <c r="F873" s="114"/>
      <c r="G873" s="121"/>
      <c r="H873" s="42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</row>
    <row r="874">
      <c r="A874" s="114"/>
      <c r="B874" s="114"/>
      <c r="C874" s="114"/>
      <c r="D874" s="114"/>
      <c r="E874" s="114"/>
      <c r="F874" s="114"/>
      <c r="G874" s="121"/>
      <c r="H874" s="42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</row>
    <row r="875">
      <c r="A875" s="114"/>
      <c r="B875" s="114"/>
      <c r="C875" s="114"/>
      <c r="D875" s="114"/>
      <c r="E875" s="114"/>
      <c r="F875" s="114"/>
      <c r="G875" s="121"/>
      <c r="H875" s="42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</row>
    <row r="876">
      <c r="A876" s="114"/>
      <c r="B876" s="114"/>
      <c r="C876" s="114"/>
      <c r="D876" s="114"/>
      <c r="E876" s="114"/>
      <c r="F876" s="114"/>
      <c r="G876" s="121"/>
      <c r="H876" s="42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</row>
    <row r="877">
      <c r="A877" s="114"/>
      <c r="B877" s="114"/>
      <c r="C877" s="114"/>
      <c r="D877" s="114"/>
      <c r="E877" s="114"/>
      <c r="F877" s="114"/>
      <c r="G877" s="121"/>
      <c r="H877" s="42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</row>
    <row r="878">
      <c r="A878" s="114"/>
      <c r="B878" s="114"/>
      <c r="C878" s="114"/>
      <c r="D878" s="114"/>
      <c r="E878" s="114"/>
      <c r="F878" s="114"/>
      <c r="G878" s="121"/>
      <c r="H878" s="42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</row>
    <row r="879">
      <c r="A879" s="114"/>
      <c r="B879" s="114"/>
      <c r="C879" s="114"/>
      <c r="D879" s="114"/>
      <c r="E879" s="114"/>
      <c r="F879" s="114"/>
      <c r="G879" s="121"/>
      <c r="H879" s="42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</row>
    <row r="880">
      <c r="A880" s="114"/>
      <c r="B880" s="114"/>
      <c r="C880" s="114"/>
      <c r="D880" s="114"/>
      <c r="E880" s="114"/>
      <c r="F880" s="114"/>
      <c r="G880" s="121"/>
      <c r="H880" s="42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</row>
    <row r="881">
      <c r="A881" s="114"/>
      <c r="B881" s="114"/>
      <c r="C881" s="114"/>
      <c r="D881" s="114"/>
      <c r="E881" s="114"/>
      <c r="F881" s="114"/>
      <c r="G881" s="121"/>
      <c r="H881" s="42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</row>
    <row r="882">
      <c r="A882" s="114"/>
      <c r="B882" s="114"/>
      <c r="C882" s="114"/>
      <c r="D882" s="114"/>
      <c r="E882" s="114"/>
      <c r="F882" s="114"/>
      <c r="G882" s="121"/>
      <c r="H882" s="42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</row>
    <row r="883">
      <c r="A883" s="114"/>
      <c r="B883" s="114"/>
      <c r="C883" s="114"/>
      <c r="D883" s="114"/>
      <c r="E883" s="114"/>
      <c r="F883" s="114"/>
      <c r="G883" s="121"/>
      <c r="H883" s="42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</row>
    <row r="884">
      <c r="A884" s="114"/>
      <c r="B884" s="114"/>
      <c r="C884" s="114"/>
      <c r="D884" s="114"/>
      <c r="E884" s="114"/>
      <c r="F884" s="114"/>
      <c r="G884" s="121"/>
      <c r="H884" s="42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</row>
    <row r="885">
      <c r="A885" s="114"/>
      <c r="B885" s="114"/>
      <c r="C885" s="114"/>
      <c r="D885" s="114"/>
      <c r="E885" s="114"/>
      <c r="F885" s="114"/>
      <c r="G885" s="121"/>
      <c r="H885" s="42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</row>
    <row r="886">
      <c r="A886" s="114"/>
      <c r="B886" s="114"/>
      <c r="C886" s="114"/>
      <c r="D886" s="114"/>
      <c r="E886" s="114"/>
      <c r="F886" s="114"/>
      <c r="G886" s="121"/>
      <c r="H886" s="42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</row>
    <row r="887">
      <c r="A887" s="114"/>
      <c r="B887" s="114"/>
      <c r="C887" s="114"/>
      <c r="D887" s="114"/>
      <c r="E887" s="114"/>
      <c r="F887" s="114"/>
      <c r="G887" s="121"/>
      <c r="H887" s="42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</row>
    <row r="888">
      <c r="A888" s="114"/>
      <c r="B888" s="114"/>
      <c r="C888" s="114"/>
      <c r="D888" s="114"/>
      <c r="E888" s="114"/>
      <c r="F888" s="114"/>
      <c r="G888" s="121"/>
      <c r="H888" s="42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</row>
    <row r="889">
      <c r="A889" s="114"/>
      <c r="B889" s="114"/>
      <c r="C889" s="114"/>
      <c r="D889" s="114"/>
      <c r="E889" s="114"/>
      <c r="F889" s="114"/>
      <c r="G889" s="121"/>
      <c r="H889" s="42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</row>
    <row r="890">
      <c r="A890" s="114"/>
      <c r="B890" s="114"/>
      <c r="C890" s="114"/>
      <c r="D890" s="114"/>
      <c r="E890" s="114"/>
      <c r="F890" s="114"/>
      <c r="G890" s="121"/>
      <c r="H890" s="42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</row>
    <row r="891">
      <c r="A891" s="114"/>
      <c r="B891" s="114"/>
      <c r="C891" s="114"/>
      <c r="D891" s="114"/>
      <c r="E891" s="114"/>
      <c r="F891" s="114"/>
      <c r="G891" s="121"/>
      <c r="H891" s="42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</row>
    <row r="892">
      <c r="A892" s="114"/>
      <c r="B892" s="114"/>
      <c r="C892" s="114"/>
      <c r="D892" s="114"/>
      <c r="E892" s="114"/>
      <c r="F892" s="114"/>
      <c r="G892" s="121"/>
      <c r="H892" s="42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</row>
    <row r="893">
      <c r="A893" s="114"/>
      <c r="B893" s="114"/>
      <c r="C893" s="114"/>
      <c r="D893" s="114"/>
      <c r="E893" s="114"/>
      <c r="F893" s="114"/>
      <c r="G893" s="121"/>
      <c r="H893" s="42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</row>
    <row r="894">
      <c r="A894" s="114"/>
      <c r="B894" s="114"/>
      <c r="C894" s="114"/>
      <c r="D894" s="114"/>
      <c r="E894" s="114"/>
      <c r="F894" s="114"/>
      <c r="G894" s="121"/>
      <c r="H894" s="42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</row>
    <row r="895">
      <c r="A895" s="114"/>
      <c r="B895" s="114"/>
      <c r="C895" s="114"/>
      <c r="D895" s="114"/>
      <c r="E895" s="114"/>
      <c r="F895" s="114"/>
      <c r="G895" s="121"/>
      <c r="H895" s="42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</row>
    <row r="896">
      <c r="A896" s="114"/>
      <c r="B896" s="114"/>
      <c r="C896" s="114"/>
      <c r="D896" s="114"/>
      <c r="E896" s="114"/>
      <c r="F896" s="114"/>
      <c r="G896" s="121"/>
      <c r="H896" s="42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</row>
    <row r="897">
      <c r="A897" s="114"/>
      <c r="B897" s="114"/>
      <c r="C897" s="114"/>
      <c r="D897" s="114"/>
      <c r="E897" s="114"/>
      <c r="F897" s="114"/>
      <c r="G897" s="121"/>
      <c r="H897" s="42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</row>
    <row r="898">
      <c r="A898" s="114"/>
      <c r="B898" s="114"/>
      <c r="C898" s="114"/>
      <c r="D898" s="114"/>
      <c r="E898" s="114"/>
      <c r="F898" s="114"/>
      <c r="G898" s="121"/>
      <c r="H898" s="42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</row>
    <row r="899">
      <c r="A899" s="114"/>
      <c r="B899" s="114"/>
      <c r="C899" s="114"/>
      <c r="D899" s="114"/>
      <c r="E899" s="114"/>
      <c r="F899" s="114"/>
      <c r="G899" s="121"/>
      <c r="H899" s="42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</row>
    <row r="900">
      <c r="A900" s="114"/>
      <c r="B900" s="114"/>
      <c r="C900" s="114"/>
      <c r="D900" s="114"/>
      <c r="E900" s="114"/>
      <c r="F900" s="114"/>
      <c r="G900" s="121"/>
      <c r="H900" s="42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</row>
    <row r="901">
      <c r="A901" s="114"/>
      <c r="B901" s="114"/>
      <c r="C901" s="114"/>
      <c r="D901" s="114"/>
      <c r="E901" s="114"/>
      <c r="F901" s="114"/>
      <c r="G901" s="121"/>
      <c r="H901" s="42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</row>
    <row r="902">
      <c r="A902" s="114"/>
      <c r="B902" s="114"/>
      <c r="C902" s="114"/>
      <c r="D902" s="114"/>
      <c r="E902" s="114"/>
      <c r="F902" s="114"/>
      <c r="G902" s="121"/>
      <c r="H902" s="42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</row>
    <row r="903">
      <c r="A903" s="114"/>
      <c r="B903" s="114"/>
      <c r="C903" s="114"/>
      <c r="D903" s="114"/>
      <c r="E903" s="114"/>
      <c r="F903" s="114"/>
      <c r="G903" s="121"/>
      <c r="H903" s="42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</row>
    <row r="904">
      <c r="A904" s="114"/>
      <c r="B904" s="114"/>
      <c r="C904" s="114"/>
      <c r="D904" s="114"/>
      <c r="E904" s="114"/>
      <c r="F904" s="114"/>
      <c r="G904" s="121"/>
      <c r="H904" s="42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</row>
    <row r="905">
      <c r="A905" s="114"/>
      <c r="B905" s="114"/>
      <c r="C905" s="114"/>
      <c r="D905" s="114"/>
      <c r="E905" s="114"/>
      <c r="F905" s="114"/>
      <c r="G905" s="121"/>
      <c r="H905" s="42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</row>
    <row r="906">
      <c r="A906" s="114"/>
      <c r="B906" s="114"/>
      <c r="C906" s="114"/>
      <c r="D906" s="114"/>
      <c r="E906" s="114"/>
      <c r="F906" s="114"/>
      <c r="G906" s="121"/>
      <c r="H906" s="42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</row>
    <row r="907">
      <c r="A907" s="114"/>
      <c r="B907" s="114"/>
      <c r="C907" s="114"/>
      <c r="D907" s="114"/>
      <c r="E907" s="114"/>
      <c r="F907" s="114"/>
      <c r="G907" s="121"/>
      <c r="H907" s="42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</row>
    <row r="908">
      <c r="A908" s="114"/>
      <c r="B908" s="114"/>
      <c r="C908" s="114"/>
      <c r="D908" s="114"/>
      <c r="E908" s="114"/>
      <c r="F908" s="114"/>
      <c r="G908" s="121"/>
      <c r="H908" s="42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</row>
    <row r="909">
      <c r="A909" s="114"/>
      <c r="B909" s="114"/>
      <c r="C909" s="114"/>
      <c r="D909" s="114"/>
      <c r="E909" s="114"/>
      <c r="F909" s="114"/>
      <c r="G909" s="121"/>
      <c r="H909" s="42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</row>
    <row r="910">
      <c r="A910" s="114"/>
      <c r="B910" s="114"/>
      <c r="C910" s="114"/>
      <c r="D910" s="114"/>
      <c r="E910" s="114"/>
      <c r="F910" s="114"/>
      <c r="G910" s="121"/>
      <c r="H910" s="42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</row>
    <row r="911">
      <c r="A911" s="114"/>
      <c r="B911" s="114"/>
      <c r="C911" s="114"/>
      <c r="D911" s="114"/>
      <c r="E911" s="114"/>
      <c r="F911" s="114"/>
      <c r="G911" s="121"/>
      <c r="H911" s="42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</row>
    <row r="912">
      <c r="A912" s="114"/>
      <c r="B912" s="114"/>
      <c r="C912" s="114"/>
      <c r="D912" s="114"/>
      <c r="E912" s="114"/>
      <c r="F912" s="114"/>
      <c r="G912" s="121"/>
      <c r="H912" s="42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</row>
    <row r="913">
      <c r="A913" s="114"/>
      <c r="B913" s="114"/>
      <c r="C913" s="114"/>
      <c r="D913" s="114"/>
      <c r="E913" s="114"/>
      <c r="F913" s="114"/>
      <c r="G913" s="121"/>
      <c r="H913" s="42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</row>
    <row r="914">
      <c r="A914" s="114"/>
      <c r="B914" s="114"/>
      <c r="C914" s="114"/>
      <c r="D914" s="114"/>
      <c r="E914" s="114"/>
      <c r="F914" s="114"/>
      <c r="G914" s="121"/>
      <c r="H914" s="42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</row>
    <row r="915">
      <c r="A915" s="114"/>
      <c r="B915" s="114"/>
      <c r="C915" s="114"/>
      <c r="D915" s="114"/>
      <c r="E915" s="114"/>
      <c r="F915" s="114"/>
      <c r="G915" s="121"/>
      <c r="H915" s="42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</row>
    <row r="916">
      <c r="A916" s="114"/>
      <c r="B916" s="114"/>
      <c r="C916" s="114"/>
      <c r="D916" s="114"/>
      <c r="E916" s="114"/>
      <c r="F916" s="114"/>
      <c r="G916" s="121"/>
      <c r="H916" s="42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</row>
    <row r="917">
      <c r="A917" s="114"/>
      <c r="B917" s="114"/>
      <c r="C917" s="114"/>
      <c r="D917" s="114"/>
      <c r="E917" s="114"/>
      <c r="F917" s="114"/>
      <c r="G917" s="121"/>
      <c r="H917" s="42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</row>
    <row r="918">
      <c r="A918" s="114"/>
      <c r="B918" s="114"/>
      <c r="C918" s="114"/>
      <c r="D918" s="114"/>
      <c r="E918" s="114"/>
      <c r="F918" s="114"/>
      <c r="G918" s="121"/>
      <c r="H918" s="42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</row>
    <row r="919">
      <c r="A919" s="114"/>
      <c r="B919" s="114"/>
      <c r="C919" s="114"/>
      <c r="D919" s="114"/>
      <c r="E919" s="114"/>
      <c r="F919" s="114"/>
      <c r="G919" s="121"/>
      <c r="H919" s="42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</row>
    <row r="920">
      <c r="A920" s="114"/>
      <c r="B920" s="114"/>
      <c r="C920" s="114"/>
      <c r="D920" s="114"/>
      <c r="E920" s="114"/>
      <c r="F920" s="114"/>
      <c r="G920" s="121"/>
      <c r="H920" s="42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</row>
    <row r="921">
      <c r="A921" s="114"/>
      <c r="B921" s="114"/>
      <c r="C921" s="114"/>
      <c r="D921" s="114"/>
      <c r="E921" s="114"/>
      <c r="F921" s="114"/>
      <c r="G921" s="121"/>
      <c r="H921" s="42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</row>
    <row r="922">
      <c r="A922" s="114"/>
      <c r="B922" s="114"/>
      <c r="C922" s="114"/>
      <c r="D922" s="114"/>
      <c r="E922" s="114"/>
      <c r="F922" s="114"/>
      <c r="G922" s="121"/>
      <c r="H922" s="42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</row>
    <row r="923">
      <c r="A923" s="114"/>
      <c r="B923" s="114"/>
      <c r="C923" s="114"/>
      <c r="D923" s="114"/>
      <c r="E923" s="114"/>
      <c r="F923" s="114"/>
      <c r="G923" s="121"/>
      <c r="H923" s="42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</row>
    <row r="924">
      <c r="A924" s="114"/>
      <c r="B924" s="114"/>
      <c r="C924" s="114"/>
      <c r="D924" s="114"/>
      <c r="E924" s="114"/>
      <c r="F924" s="114"/>
      <c r="G924" s="121"/>
      <c r="H924" s="42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</row>
    <row r="925">
      <c r="A925" s="114"/>
      <c r="B925" s="114"/>
      <c r="C925" s="114"/>
      <c r="D925" s="114"/>
      <c r="E925" s="114"/>
      <c r="F925" s="114"/>
      <c r="G925" s="121"/>
      <c r="H925" s="42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</row>
    <row r="926">
      <c r="A926" s="114"/>
      <c r="B926" s="114"/>
      <c r="C926" s="114"/>
      <c r="D926" s="114"/>
      <c r="E926" s="114"/>
      <c r="F926" s="114"/>
      <c r="G926" s="121"/>
      <c r="H926" s="42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</row>
    <row r="927">
      <c r="A927" s="114"/>
      <c r="B927" s="114"/>
      <c r="C927" s="114"/>
      <c r="D927" s="114"/>
      <c r="E927" s="114"/>
      <c r="F927" s="114"/>
      <c r="G927" s="121"/>
      <c r="H927" s="42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</row>
    <row r="928">
      <c r="A928" s="114"/>
      <c r="B928" s="114"/>
      <c r="C928" s="114"/>
      <c r="D928" s="114"/>
      <c r="E928" s="114"/>
      <c r="F928" s="114"/>
      <c r="G928" s="121"/>
      <c r="H928" s="42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</row>
    <row r="929">
      <c r="A929" s="114"/>
      <c r="B929" s="114"/>
      <c r="C929" s="114"/>
      <c r="D929" s="114"/>
      <c r="E929" s="114"/>
      <c r="F929" s="114"/>
      <c r="G929" s="121"/>
      <c r="H929" s="42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</row>
    <row r="930">
      <c r="A930" s="114"/>
      <c r="B930" s="114"/>
      <c r="C930" s="114"/>
      <c r="D930" s="114"/>
      <c r="E930" s="114"/>
      <c r="F930" s="114"/>
      <c r="G930" s="121"/>
      <c r="H930" s="42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</row>
    <row r="931">
      <c r="A931" s="114"/>
      <c r="B931" s="114"/>
      <c r="C931" s="114"/>
      <c r="D931" s="114"/>
      <c r="E931" s="114"/>
      <c r="F931" s="114"/>
      <c r="G931" s="121"/>
      <c r="H931" s="42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</row>
    <row r="932">
      <c r="A932" s="114"/>
      <c r="B932" s="114"/>
      <c r="C932" s="114"/>
      <c r="D932" s="114"/>
      <c r="E932" s="114"/>
      <c r="F932" s="114"/>
      <c r="G932" s="121"/>
      <c r="H932" s="42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</row>
    <row r="933">
      <c r="A933" s="114"/>
      <c r="B933" s="114"/>
      <c r="C933" s="114"/>
      <c r="D933" s="114"/>
      <c r="E933" s="114"/>
      <c r="F933" s="114"/>
      <c r="G933" s="121"/>
      <c r="H933" s="42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</row>
    <row r="934">
      <c r="A934" s="114"/>
      <c r="B934" s="114"/>
      <c r="C934" s="114"/>
      <c r="D934" s="114"/>
      <c r="E934" s="114"/>
      <c r="F934" s="114"/>
      <c r="G934" s="121"/>
      <c r="H934" s="42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</row>
    <row r="935">
      <c r="A935" s="114"/>
      <c r="B935" s="114"/>
      <c r="C935" s="114"/>
      <c r="D935" s="114"/>
      <c r="E935" s="114"/>
      <c r="F935" s="114"/>
      <c r="G935" s="121"/>
      <c r="H935" s="42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</row>
    <row r="936">
      <c r="A936" s="114"/>
      <c r="B936" s="114"/>
      <c r="C936" s="114"/>
      <c r="D936" s="114"/>
      <c r="E936" s="114"/>
      <c r="F936" s="114"/>
      <c r="G936" s="121"/>
      <c r="H936" s="42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</row>
    <row r="937">
      <c r="A937" s="114"/>
      <c r="B937" s="114"/>
      <c r="C937" s="114"/>
      <c r="D937" s="114"/>
      <c r="E937" s="114"/>
      <c r="F937" s="114"/>
      <c r="G937" s="121"/>
      <c r="H937" s="42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</row>
    <row r="938">
      <c r="A938" s="114"/>
      <c r="B938" s="114"/>
      <c r="C938" s="114"/>
      <c r="D938" s="114"/>
      <c r="E938" s="114"/>
      <c r="F938" s="114"/>
      <c r="G938" s="121"/>
      <c r="H938" s="42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</row>
    <row r="939">
      <c r="A939" s="114"/>
      <c r="B939" s="114"/>
      <c r="C939" s="114"/>
      <c r="D939" s="114"/>
      <c r="E939" s="114"/>
      <c r="F939" s="114"/>
      <c r="G939" s="121"/>
      <c r="H939" s="42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</row>
    <row r="940">
      <c r="A940" s="114"/>
      <c r="B940" s="114"/>
      <c r="C940" s="114"/>
      <c r="D940" s="114"/>
      <c r="E940" s="114"/>
      <c r="F940" s="114"/>
      <c r="G940" s="121"/>
      <c r="H940" s="42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</row>
    <row r="941">
      <c r="A941" s="114"/>
      <c r="B941" s="114"/>
      <c r="C941" s="114"/>
      <c r="D941" s="114"/>
      <c r="E941" s="114"/>
      <c r="F941" s="114"/>
      <c r="G941" s="121"/>
      <c r="H941" s="42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</row>
    <row r="942">
      <c r="A942" s="114"/>
      <c r="B942" s="114"/>
      <c r="C942" s="114"/>
      <c r="D942" s="114"/>
      <c r="E942" s="114"/>
      <c r="F942" s="114"/>
      <c r="G942" s="121"/>
      <c r="H942" s="42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</row>
    <row r="943">
      <c r="A943" s="114"/>
      <c r="B943" s="114"/>
      <c r="C943" s="114"/>
      <c r="D943" s="114"/>
      <c r="E943" s="114"/>
      <c r="F943" s="114"/>
      <c r="G943" s="121"/>
      <c r="H943" s="42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</row>
    <row r="944">
      <c r="A944" s="114"/>
      <c r="B944" s="114"/>
      <c r="C944" s="114"/>
      <c r="D944" s="114"/>
      <c r="E944" s="114"/>
      <c r="F944" s="114"/>
      <c r="G944" s="121"/>
      <c r="H944" s="42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</row>
    <row r="945">
      <c r="A945" s="114"/>
      <c r="B945" s="114"/>
      <c r="C945" s="114"/>
      <c r="D945" s="114"/>
      <c r="E945" s="114"/>
      <c r="F945" s="114"/>
      <c r="G945" s="121"/>
      <c r="H945" s="42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</row>
    <row r="946">
      <c r="A946" s="114"/>
      <c r="B946" s="114"/>
      <c r="C946" s="114"/>
      <c r="D946" s="114"/>
      <c r="E946" s="114"/>
      <c r="F946" s="114"/>
      <c r="G946" s="121"/>
      <c r="H946" s="42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</row>
    <row r="947">
      <c r="A947" s="114"/>
      <c r="B947" s="114"/>
      <c r="C947" s="114"/>
      <c r="D947" s="114"/>
      <c r="E947" s="114"/>
      <c r="F947" s="114"/>
      <c r="G947" s="121"/>
      <c r="H947" s="42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</row>
    <row r="948">
      <c r="A948" s="114"/>
      <c r="B948" s="114"/>
      <c r="C948" s="114"/>
      <c r="D948" s="114"/>
      <c r="E948" s="114"/>
      <c r="F948" s="114"/>
      <c r="G948" s="121"/>
      <c r="H948" s="42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</row>
    <row r="949">
      <c r="A949" s="114"/>
      <c r="B949" s="114"/>
      <c r="C949" s="114"/>
      <c r="D949" s="114"/>
      <c r="E949" s="114"/>
      <c r="F949" s="114"/>
      <c r="G949" s="121"/>
      <c r="H949" s="42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</row>
    <row r="950">
      <c r="A950" s="114"/>
      <c r="B950" s="114"/>
      <c r="C950" s="114"/>
      <c r="D950" s="114"/>
      <c r="E950" s="114"/>
      <c r="F950" s="114"/>
      <c r="G950" s="121"/>
      <c r="H950" s="42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</row>
    <row r="951">
      <c r="A951" s="114"/>
      <c r="B951" s="114"/>
      <c r="C951" s="114"/>
      <c r="D951" s="114"/>
      <c r="E951" s="114"/>
      <c r="F951" s="114"/>
      <c r="G951" s="121"/>
      <c r="H951" s="42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</row>
    <row r="952">
      <c r="A952" s="114"/>
      <c r="B952" s="114"/>
      <c r="C952" s="114"/>
      <c r="D952" s="114"/>
      <c r="E952" s="114"/>
      <c r="F952" s="114"/>
      <c r="G952" s="121"/>
      <c r="H952" s="42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</row>
    <row r="953">
      <c r="A953" s="114"/>
      <c r="B953" s="114"/>
      <c r="C953" s="114"/>
      <c r="D953" s="114"/>
      <c r="E953" s="114"/>
      <c r="F953" s="114"/>
      <c r="G953" s="121"/>
      <c r="H953" s="42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</row>
    <row r="954">
      <c r="A954" s="114"/>
      <c r="B954" s="114"/>
      <c r="C954" s="114"/>
      <c r="D954" s="114"/>
      <c r="E954" s="114"/>
      <c r="F954" s="114"/>
      <c r="G954" s="121"/>
      <c r="H954" s="42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</row>
    <row r="955">
      <c r="A955" s="114"/>
      <c r="B955" s="114"/>
      <c r="C955" s="114"/>
      <c r="D955" s="114"/>
      <c r="E955" s="114"/>
      <c r="F955" s="114"/>
      <c r="G955" s="121"/>
      <c r="H955" s="42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</row>
    <row r="956">
      <c r="A956" s="114"/>
      <c r="B956" s="114"/>
      <c r="C956" s="114"/>
      <c r="D956" s="114"/>
      <c r="E956" s="114"/>
      <c r="F956" s="114"/>
      <c r="G956" s="121"/>
      <c r="H956" s="42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</row>
    <row r="957">
      <c r="A957" s="114"/>
      <c r="B957" s="114"/>
      <c r="C957" s="114"/>
      <c r="D957" s="114"/>
      <c r="E957" s="114"/>
      <c r="F957" s="114"/>
      <c r="G957" s="121"/>
      <c r="H957" s="42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</row>
    <row r="958">
      <c r="A958" s="114"/>
      <c r="B958" s="114"/>
      <c r="C958" s="114"/>
      <c r="D958" s="114"/>
      <c r="E958" s="114"/>
      <c r="F958" s="114"/>
      <c r="G958" s="121"/>
      <c r="H958" s="42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</row>
    <row r="959">
      <c r="A959" s="114"/>
      <c r="B959" s="114"/>
      <c r="C959" s="114"/>
      <c r="D959" s="114"/>
      <c r="E959" s="114"/>
      <c r="F959" s="114"/>
      <c r="G959" s="121"/>
      <c r="H959" s="42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</row>
    <row r="960">
      <c r="A960" s="114"/>
      <c r="B960" s="114"/>
      <c r="C960" s="114"/>
      <c r="D960" s="114"/>
      <c r="E960" s="114"/>
      <c r="F960" s="114"/>
      <c r="G960" s="121"/>
      <c r="H960" s="42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</row>
    <row r="961">
      <c r="A961" s="114"/>
      <c r="B961" s="114"/>
      <c r="C961" s="114"/>
      <c r="D961" s="114"/>
      <c r="E961" s="114"/>
      <c r="F961" s="114"/>
      <c r="G961" s="121"/>
      <c r="H961" s="42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</row>
    <row r="962">
      <c r="A962" s="114"/>
      <c r="B962" s="114"/>
      <c r="C962" s="114"/>
      <c r="D962" s="114"/>
      <c r="E962" s="114"/>
      <c r="F962" s="114"/>
      <c r="G962" s="121"/>
      <c r="H962" s="42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</row>
    <row r="963">
      <c r="A963" s="114"/>
      <c r="B963" s="114"/>
      <c r="C963" s="114"/>
      <c r="D963" s="114"/>
      <c r="E963" s="114"/>
      <c r="F963" s="114"/>
      <c r="G963" s="121"/>
      <c r="H963" s="42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</row>
    <row r="964">
      <c r="A964" s="114"/>
      <c r="B964" s="114"/>
      <c r="C964" s="114"/>
      <c r="D964" s="114"/>
      <c r="E964" s="114"/>
      <c r="F964" s="114"/>
      <c r="G964" s="121"/>
      <c r="H964" s="42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</row>
    <row r="965">
      <c r="A965" s="114"/>
      <c r="B965" s="114"/>
      <c r="C965" s="114"/>
      <c r="D965" s="114"/>
      <c r="E965" s="114"/>
      <c r="F965" s="114"/>
      <c r="G965" s="121"/>
      <c r="H965" s="42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</row>
    <row r="966">
      <c r="A966" s="114"/>
      <c r="B966" s="114"/>
      <c r="C966" s="114"/>
      <c r="D966" s="114"/>
      <c r="E966" s="114"/>
      <c r="F966" s="114"/>
      <c r="G966" s="121"/>
      <c r="H966" s="42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</row>
    <row r="967">
      <c r="A967" s="114"/>
      <c r="B967" s="114"/>
      <c r="C967" s="114"/>
      <c r="D967" s="114"/>
      <c r="E967" s="114"/>
      <c r="F967" s="114"/>
      <c r="G967" s="121"/>
      <c r="H967" s="42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</row>
    <row r="968">
      <c r="A968" s="114"/>
      <c r="B968" s="114"/>
      <c r="C968" s="114"/>
      <c r="D968" s="114"/>
      <c r="E968" s="114"/>
      <c r="F968" s="114"/>
      <c r="G968" s="121"/>
      <c r="H968" s="42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</row>
    <row r="969">
      <c r="A969" s="114"/>
      <c r="B969" s="114"/>
      <c r="C969" s="114"/>
      <c r="D969" s="114"/>
      <c r="E969" s="114"/>
      <c r="F969" s="114"/>
      <c r="G969" s="121"/>
      <c r="H969" s="42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</row>
    <row r="970">
      <c r="A970" s="114"/>
      <c r="B970" s="114"/>
      <c r="C970" s="114"/>
      <c r="D970" s="114"/>
      <c r="E970" s="114"/>
      <c r="F970" s="114"/>
      <c r="G970" s="121"/>
      <c r="H970" s="42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</row>
    <row r="971">
      <c r="A971" s="114"/>
      <c r="B971" s="114"/>
      <c r="C971" s="114"/>
      <c r="D971" s="114"/>
      <c r="E971" s="114"/>
      <c r="F971" s="114"/>
      <c r="G971" s="121"/>
      <c r="H971" s="42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</row>
    <row r="972">
      <c r="A972" s="114"/>
      <c r="B972" s="114"/>
      <c r="C972" s="114"/>
      <c r="D972" s="114"/>
      <c r="E972" s="114"/>
      <c r="F972" s="114"/>
      <c r="G972" s="121"/>
      <c r="H972" s="42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</row>
    <row r="973">
      <c r="A973" s="114"/>
      <c r="B973" s="114"/>
      <c r="C973" s="114"/>
      <c r="D973" s="114"/>
      <c r="E973" s="114"/>
      <c r="F973" s="114"/>
      <c r="G973" s="121"/>
      <c r="H973" s="42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</row>
    <row r="974">
      <c r="A974" s="114"/>
      <c r="B974" s="114"/>
      <c r="C974" s="114"/>
      <c r="D974" s="114"/>
      <c r="E974" s="114"/>
      <c r="F974" s="114"/>
      <c r="G974" s="121"/>
      <c r="H974" s="42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</row>
    <row r="975">
      <c r="A975" s="114"/>
      <c r="B975" s="114"/>
      <c r="C975" s="114"/>
      <c r="D975" s="114"/>
      <c r="E975" s="114"/>
      <c r="F975" s="114"/>
      <c r="G975" s="121"/>
      <c r="H975" s="42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</row>
    <row r="976">
      <c r="A976" s="114"/>
      <c r="B976" s="114"/>
      <c r="C976" s="114"/>
      <c r="D976" s="114"/>
      <c r="E976" s="114"/>
      <c r="F976" s="114"/>
      <c r="G976" s="121"/>
      <c r="H976" s="42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</row>
    <row r="977">
      <c r="A977" s="114"/>
      <c r="B977" s="114"/>
      <c r="C977" s="114"/>
      <c r="D977" s="114"/>
      <c r="E977" s="114"/>
      <c r="F977" s="114"/>
      <c r="G977" s="121"/>
      <c r="H977" s="42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</row>
    <row r="978">
      <c r="A978" s="114"/>
      <c r="B978" s="114"/>
      <c r="C978" s="114"/>
      <c r="D978" s="114"/>
      <c r="E978" s="114"/>
      <c r="F978" s="114"/>
      <c r="G978" s="121"/>
      <c r="H978" s="42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</row>
    <row r="979">
      <c r="A979" s="114"/>
      <c r="B979" s="114"/>
      <c r="C979" s="114"/>
      <c r="D979" s="114"/>
      <c r="E979" s="114"/>
      <c r="F979" s="114"/>
      <c r="G979" s="121"/>
      <c r="H979" s="42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</row>
    <row r="980">
      <c r="A980" s="114"/>
      <c r="B980" s="114"/>
      <c r="C980" s="114"/>
      <c r="D980" s="114"/>
      <c r="E980" s="114"/>
      <c r="F980" s="114"/>
      <c r="G980" s="121"/>
      <c r="H980" s="42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</row>
    <row r="981">
      <c r="A981" s="114"/>
      <c r="B981" s="114"/>
      <c r="C981" s="114"/>
      <c r="D981" s="114"/>
      <c r="E981" s="114"/>
      <c r="F981" s="114"/>
      <c r="G981" s="121"/>
      <c r="H981" s="42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</row>
    <row r="982">
      <c r="A982" s="114"/>
      <c r="B982" s="114"/>
      <c r="C982" s="114"/>
      <c r="D982" s="114"/>
      <c r="E982" s="114"/>
      <c r="F982" s="114"/>
      <c r="G982" s="121"/>
      <c r="H982" s="42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  <c r="AF982" s="114"/>
      <c r="AG982" s="114"/>
    </row>
    <row r="983">
      <c r="A983" s="114"/>
      <c r="B983" s="114"/>
      <c r="C983" s="114"/>
      <c r="D983" s="114"/>
      <c r="E983" s="114"/>
      <c r="F983" s="114"/>
      <c r="G983" s="121"/>
      <c r="H983" s="42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  <c r="AF983" s="114"/>
      <c r="AG983" s="114"/>
    </row>
    <row r="984">
      <c r="A984" s="114"/>
      <c r="B984" s="114"/>
      <c r="C984" s="114"/>
      <c r="D984" s="114"/>
      <c r="E984" s="114"/>
      <c r="F984" s="114"/>
      <c r="G984" s="121"/>
      <c r="H984" s="42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</row>
    <row r="985">
      <c r="A985" s="114"/>
      <c r="B985" s="114"/>
      <c r="C985" s="114"/>
      <c r="D985" s="114"/>
      <c r="E985" s="114"/>
      <c r="F985" s="114"/>
      <c r="G985" s="121"/>
      <c r="H985" s="42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  <c r="AF985" s="114"/>
      <c r="AG985" s="114"/>
    </row>
    <row r="986">
      <c r="A986" s="114"/>
      <c r="B986" s="114"/>
      <c r="C986" s="114"/>
      <c r="D986" s="114"/>
      <c r="E986" s="114"/>
      <c r="F986" s="114"/>
      <c r="G986" s="121"/>
      <c r="H986" s="42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  <c r="AF986" s="114"/>
      <c r="AG986" s="114"/>
    </row>
    <row r="987">
      <c r="A987" s="114"/>
      <c r="B987" s="114"/>
      <c r="C987" s="114"/>
      <c r="D987" s="114"/>
      <c r="E987" s="114"/>
      <c r="F987" s="114"/>
      <c r="G987" s="121"/>
      <c r="H987" s="42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  <c r="AF987" s="114"/>
      <c r="AG987" s="114"/>
    </row>
    <row r="988">
      <c r="A988" s="114"/>
      <c r="B988" s="114"/>
      <c r="C988" s="114"/>
      <c r="D988" s="114"/>
      <c r="E988" s="114"/>
      <c r="F988" s="114"/>
      <c r="G988" s="121"/>
      <c r="H988" s="42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</row>
    <row r="989">
      <c r="A989" s="114"/>
      <c r="B989" s="114"/>
      <c r="C989" s="114"/>
      <c r="D989" s="114"/>
      <c r="E989" s="114"/>
      <c r="F989" s="114"/>
      <c r="G989" s="121"/>
      <c r="H989" s="42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</row>
    <row r="990">
      <c r="A990" s="114"/>
      <c r="B990" s="114"/>
      <c r="C990" s="114"/>
      <c r="D990" s="114"/>
      <c r="E990" s="114"/>
      <c r="F990" s="114"/>
      <c r="G990" s="121"/>
      <c r="H990" s="42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</row>
    <row r="991">
      <c r="A991" s="114"/>
      <c r="B991" s="114"/>
      <c r="C991" s="114"/>
      <c r="D991" s="114"/>
      <c r="E991" s="114"/>
      <c r="F991" s="114"/>
      <c r="G991" s="121"/>
      <c r="H991" s="42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</row>
    <row r="992">
      <c r="A992" s="114"/>
      <c r="B992" s="114"/>
      <c r="C992" s="114"/>
      <c r="D992" s="114"/>
      <c r="E992" s="114"/>
      <c r="F992" s="114"/>
      <c r="G992" s="121"/>
      <c r="H992" s="42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</row>
    <row r="993">
      <c r="A993" s="114"/>
      <c r="B993" s="114"/>
      <c r="C993" s="114"/>
      <c r="D993" s="114"/>
      <c r="E993" s="114"/>
      <c r="F993" s="114"/>
      <c r="G993" s="121"/>
      <c r="H993" s="42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</row>
    <row r="994">
      <c r="A994" s="114"/>
      <c r="B994" s="114"/>
      <c r="C994" s="114"/>
      <c r="D994" s="114"/>
      <c r="E994" s="114"/>
      <c r="F994" s="114"/>
      <c r="G994" s="121"/>
      <c r="H994" s="42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</row>
    <row r="995">
      <c r="A995" s="114"/>
      <c r="B995" s="114"/>
      <c r="C995" s="114"/>
      <c r="D995" s="114"/>
      <c r="E995" s="114"/>
      <c r="F995" s="114"/>
      <c r="G995" s="121"/>
      <c r="H995" s="42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  <c r="AF995" s="114"/>
      <c r="AG995" s="114"/>
    </row>
    <row r="996">
      <c r="A996" s="114"/>
      <c r="B996" s="114"/>
      <c r="C996" s="114"/>
      <c r="D996" s="114"/>
      <c r="E996" s="114"/>
      <c r="F996" s="114"/>
      <c r="G996" s="121"/>
      <c r="H996" s="42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  <c r="AF996" s="114"/>
      <c r="AG996" s="114"/>
    </row>
    <row r="997">
      <c r="A997" s="114"/>
      <c r="B997" s="114"/>
      <c r="C997" s="114"/>
      <c r="D997" s="114"/>
      <c r="E997" s="114"/>
      <c r="F997" s="114"/>
      <c r="G997" s="121"/>
      <c r="H997" s="42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  <c r="AF997" s="114"/>
      <c r="AG997" s="114"/>
    </row>
    <row r="998">
      <c r="A998" s="114"/>
      <c r="B998" s="114"/>
      <c r="C998" s="114"/>
      <c r="D998" s="114"/>
      <c r="E998" s="114"/>
      <c r="F998" s="114"/>
      <c r="G998" s="121"/>
      <c r="H998" s="42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  <c r="AF998" s="114"/>
      <c r="AG998" s="114"/>
    </row>
    <row r="999">
      <c r="A999" s="114"/>
      <c r="B999" s="114"/>
      <c r="C999" s="114"/>
      <c r="D999" s="114"/>
      <c r="E999" s="114"/>
      <c r="F999" s="114"/>
      <c r="G999" s="121"/>
      <c r="H999" s="42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  <c r="AF999" s="114"/>
      <c r="AG999" s="114"/>
    </row>
    <row r="1000">
      <c r="A1000" s="114"/>
      <c r="B1000" s="114"/>
      <c r="C1000" s="114"/>
      <c r="D1000" s="114"/>
      <c r="E1000" s="114"/>
      <c r="F1000" s="114"/>
      <c r="G1000" s="121"/>
      <c r="H1000" s="42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4"/>
      <c r="AG1000" s="114"/>
    </row>
    <row r="1001">
      <c r="A1001" s="114"/>
      <c r="B1001" s="114"/>
      <c r="C1001" s="114"/>
      <c r="D1001" s="114"/>
      <c r="E1001" s="114"/>
      <c r="F1001" s="114"/>
      <c r="G1001" s="121"/>
      <c r="H1001" s="42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  <c r="AB1001" s="114"/>
      <c r="AC1001" s="114"/>
      <c r="AD1001" s="114"/>
      <c r="AE1001" s="114"/>
      <c r="AF1001" s="114"/>
      <c r="AG1001" s="114"/>
    </row>
    <row r="1002">
      <c r="A1002" s="114"/>
      <c r="B1002" s="114"/>
      <c r="C1002" s="114"/>
      <c r="D1002" s="114"/>
      <c r="E1002" s="114"/>
      <c r="F1002" s="114"/>
      <c r="G1002" s="121"/>
      <c r="H1002" s="42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  <c r="AB1002" s="114"/>
      <c r="AC1002" s="114"/>
      <c r="AD1002" s="114"/>
      <c r="AE1002" s="114"/>
      <c r="AF1002" s="114"/>
      <c r="AG1002" s="114"/>
    </row>
    <row r="1003">
      <c r="A1003" s="114"/>
      <c r="B1003" s="114"/>
      <c r="C1003" s="114"/>
      <c r="D1003" s="114"/>
      <c r="E1003" s="114"/>
      <c r="F1003" s="114"/>
      <c r="G1003" s="121"/>
      <c r="H1003" s="42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  <c r="AB1003" s="114"/>
      <c r="AC1003" s="114"/>
      <c r="AD1003" s="114"/>
      <c r="AE1003" s="114"/>
      <c r="AF1003" s="114"/>
      <c r="AG1003" s="114"/>
    </row>
    <row r="1004">
      <c r="A1004" s="114"/>
      <c r="B1004" s="114"/>
      <c r="C1004" s="114"/>
      <c r="D1004" s="114"/>
      <c r="E1004" s="114"/>
      <c r="F1004" s="114"/>
      <c r="G1004" s="121"/>
      <c r="H1004" s="42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  <c r="AB1004" s="114"/>
      <c r="AC1004" s="114"/>
      <c r="AD1004" s="114"/>
      <c r="AE1004" s="114"/>
      <c r="AF1004" s="114"/>
      <c r="AG1004" s="114"/>
    </row>
    <row r="1005">
      <c r="A1005" s="114"/>
      <c r="B1005" s="114"/>
      <c r="C1005" s="114"/>
      <c r="D1005" s="114"/>
      <c r="E1005" s="114"/>
      <c r="F1005" s="114"/>
      <c r="G1005" s="121"/>
      <c r="H1005" s="42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  <c r="AB1005" s="114"/>
      <c r="AC1005" s="114"/>
      <c r="AD1005" s="114"/>
      <c r="AE1005" s="114"/>
      <c r="AF1005" s="114"/>
      <c r="AG1005" s="114"/>
    </row>
    <row r="1006">
      <c r="A1006" s="114"/>
      <c r="B1006" s="114"/>
      <c r="C1006" s="114"/>
      <c r="D1006" s="114"/>
      <c r="E1006" s="114"/>
      <c r="F1006" s="114"/>
      <c r="G1006" s="121"/>
      <c r="H1006" s="42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  <c r="AB1006" s="114"/>
      <c r="AC1006" s="114"/>
      <c r="AD1006" s="114"/>
      <c r="AE1006" s="114"/>
      <c r="AF1006" s="114"/>
      <c r="AG1006" s="114"/>
    </row>
    <row r="1007">
      <c r="A1007" s="114"/>
      <c r="B1007" s="114"/>
      <c r="C1007" s="114"/>
      <c r="D1007" s="114"/>
      <c r="E1007" s="114"/>
      <c r="F1007" s="114"/>
      <c r="G1007" s="121"/>
      <c r="H1007" s="42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  <c r="AB1007" s="114"/>
      <c r="AC1007" s="114"/>
      <c r="AD1007" s="114"/>
      <c r="AE1007" s="114"/>
      <c r="AF1007" s="114"/>
      <c r="AG1007" s="114"/>
    </row>
    <row r="1008">
      <c r="A1008" s="114"/>
      <c r="B1008" s="114"/>
      <c r="C1008" s="114"/>
      <c r="D1008" s="114"/>
      <c r="E1008" s="114"/>
      <c r="F1008" s="114"/>
      <c r="G1008" s="121"/>
      <c r="H1008" s="42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  <c r="AA1008" s="114"/>
      <c r="AB1008" s="114"/>
      <c r="AC1008" s="114"/>
      <c r="AD1008" s="114"/>
      <c r="AE1008" s="114"/>
      <c r="AF1008" s="114"/>
      <c r="AG1008" s="114"/>
    </row>
    <row r="1009">
      <c r="A1009" s="114"/>
      <c r="B1009" s="114"/>
      <c r="C1009" s="114"/>
      <c r="D1009" s="114"/>
      <c r="E1009" s="114"/>
      <c r="F1009" s="114"/>
      <c r="G1009" s="121"/>
      <c r="H1009" s="42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  <c r="AA1009" s="114"/>
      <c r="AB1009" s="114"/>
      <c r="AC1009" s="114"/>
      <c r="AD1009" s="114"/>
      <c r="AE1009" s="114"/>
      <c r="AF1009" s="114"/>
      <c r="AG1009" s="114"/>
    </row>
    <row r="1010">
      <c r="A1010" s="114"/>
      <c r="B1010" s="114"/>
      <c r="C1010" s="114"/>
      <c r="D1010" s="114"/>
      <c r="E1010" s="114"/>
      <c r="F1010" s="114"/>
      <c r="G1010" s="121"/>
      <c r="H1010" s="42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  <c r="AA1010" s="114"/>
      <c r="AB1010" s="114"/>
      <c r="AC1010" s="114"/>
      <c r="AD1010" s="114"/>
      <c r="AE1010" s="114"/>
      <c r="AF1010" s="114"/>
      <c r="AG1010" s="114"/>
    </row>
    <row r="1011">
      <c r="A1011" s="114"/>
      <c r="B1011" s="114"/>
      <c r="C1011" s="114"/>
      <c r="D1011" s="114"/>
      <c r="E1011" s="114"/>
      <c r="F1011" s="114"/>
      <c r="G1011" s="121"/>
      <c r="H1011" s="42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  <c r="AA1011" s="114"/>
      <c r="AB1011" s="114"/>
      <c r="AC1011" s="114"/>
      <c r="AD1011" s="114"/>
      <c r="AE1011" s="114"/>
      <c r="AF1011" s="114"/>
      <c r="AG1011" s="114"/>
    </row>
    <row r="1012">
      <c r="A1012" s="114"/>
      <c r="B1012" s="114"/>
      <c r="C1012" s="114"/>
      <c r="D1012" s="114"/>
      <c r="E1012" s="114"/>
      <c r="F1012" s="114"/>
      <c r="G1012" s="121"/>
      <c r="H1012" s="42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  <c r="AA1012" s="114"/>
      <c r="AB1012" s="114"/>
      <c r="AC1012" s="114"/>
      <c r="AD1012" s="114"/>
      <c r="AE1012" s="114"/>
      <c r="AF1012" s="114"/>
      <c r="AG1012" s="114"/>
    </row>
    <row r="1013">
      <c r="A1013" s="114"/>
      <c r="B1013" s="114"/>
      <c r="C1013" s="114"/>
      <c r="D1013" s="114"/>
      <c r="E1013" s="114"/>
      <c r="F1013" s="114"/>
      <c r="G1013" s="121"/>
      <c r="H1013" s="42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  <c r="AA1013" s="114"/>
      <c r="AB1013" s="114"/>
      <c r="AC1013" s="114"/>
      <c r="AD1013" s="114"/>
      <c r="AE1013" s="114"/>
      <c r="AF1013" s="114"/>
      <c r="AG1013" s="114"/>
    </row>
    <row r="1014">
      <c r="A1014" s="114"/>
      <c r="B1014" s="114"/>
      <c r="C1014" s="114"/>
      <c r="D1014" s="114"/>
      <c r="E1014" s="114"/>
      <c r="F1014" s="114"/>
      <c r="G1014" s="121"/>
      <c r="H1014" s="42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  <c r="AA1014" s="114"/>
      <c r="AB1014" s="114"/>
      <c r="AC1014" s="114"/>
      <c r="AD1014" s="114"/>
      <c r="AE1014" s="114"/>
      <c r="AF1014" s="114"/>
      <c r="AG1014" s="114"/>
    </row>
    <row r="1015">
      <c r="A1015" s="114"/>
      <c r="B1015" s="114"/>
      <c r="C1015" s="114"/>
      <c r="D1015" s="114"/>
      <c r="E1015" s="114"/>
      <c r="F1015" s="114"/>
      <c r="G1015" s="121"/>
      <c r="H1015" s="42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  <c r="AA1015" s="114"/>
      <c r="AB1015" s="114"/>
      <c r="AC1015" s="114"/>
      <c r="AD1015" s="114"/>
      <c r="AE1015" s="114"/>
      <c r="AF1015" s="114"/>
      <c r="AG1015" s="114"/>
    </row>
    <row r="1016">
      <c r="A1016" s="114"/>
      <c r="B1016" s="114"/>
      <c r="C1016" s="114"/>
      <c r="D1016" s="114"/>
      <c r="E1016" s="114"/>
      <c r="F1016" s="114"/>
      <c r="G1016" s="121"/>
      <c r="H1016" s="42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  <c r="AA1016" s="114"/>
      <c r="AB1016" s="114"/>
      <c r="AC1016" s="114"/>
      <c r="AD1016" s="114"/>
      <c r="AE1016" s="114"/>
      <c r="AF1016" s="114"/>
      <c r="AG1016" s="114"/>
    </row>
    <row r="1017">
      <c r="A1017" s="114"/>
      <c r="B1017" s="114"/>
      <c r="C1017" s="114"/>
      <c r="D1017" s="114"/>
      <c r="E1017" s="114"/>
      <c r="F1017" s="114"/>
      <c r="G1017" s="121"/>
      <c r="H1017" s="42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  <c r="AA1017" s="114"/>
      <c r="AB1017" s="114"/>
      <c r="AC1017" s="114"/>
      <c r="AD1017" s="114"/>
      <c r="AE1017" s="114"/>
      <c r="AF1017" s="114"/>
      <c r="AG1017" s="114"/>
    </row>
    <row r="1018">
      <c r="A1018" s="114"/>
      <c r="B1018" s="114"/>
      <c r="C1018" s="114"/>
      <c r="D1018" s="114"/>
      <c r="E1018" s="114"/>
      <c r="F1018" s="114"/>
      <c r="G1018" s="121"/>
      <c r="H1018" s="42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  <c r="AA1018" s="114"/>
      <c r="AB1018" s="114"/>
      <c r="AC1018" s="114"/>
      <c r="AD1018" s="114"/>
      <c r="AE1018" s="114"/>
      <c r="AF1018" s="114"/>
      <c r="AG1018" s="114"/>
    </row>
    <row r="1019">
      <c r="A1019" s="114"/>
      <c r="B1019" s="114"/>
      <c r="C1019" s="114"/>
      <c r="D1019" s="114"/>
      <c r="E1019" s="114"/>
      <c r="F1019" s="114"/>
      <c r="G1019" s="121"/>
      <c r="H1019" s="42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  <c r="AA1019" s="114"/>
      <c r="AB1019" s="114"/>
      <c r="AC1019" s="114"/>
      <c r="AD1019" s="114"/>
      <c r="AE1019" s="114"/>
      <c r="AF1019" s="114"/>
      <c r="AG1019" s="114"/>
    </row>
    <row r="1020">
      <c r="A1020" s="114"/>
      <c r="B1020" s="114"/>
      <c r="C1020" s="114"/>
      <c r="D1020" s="114"/>
      <c r="E1020" s="114"/>
      <c r="F1020" s="114"/>
      <c r="G1020" s="121"/>
      <c r="H1020" s="42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  <c r="AA1020" s="114"/>
      <c r="AB1020" s="114"/>
      <c r="AC1020" s="114"/>
      <c r="AD1020" s="114"/>
      <c r="AE1020" s="114"/>
      <c r="AF1020" s="114"/>
      <c r="AG1020" s="114"/>
    </row>
    <row r="1021">
      <c r="A1021" s="114"/>
      <c r="B1021" s="114"/>
      <c r="C1021" s="114"/>
      <c r="D1021" s="114"/>
      <c r="E1021" s="114"/>
      <c r="F1021" s="114"/>
      <c r="G1021" s="121"/>
      <c r="H1021" s="42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  <c r="AA1021" s="114"/>
      <c r="AB1021" s="114"/>
      <c r="AC1021" s="114"/>
      <c r="AD1021" s="114"/>
      <c r="AE1021" s="114"/>
      <c r="AF1021" s="114"/>
      <c r="AG1021" s="114"/>
    </row>
    <row r="1022">
      <c r="A1022" s="114"/>
      <c r="B1022" s="114"/>
      <c r="C1022" s="114"/>
      <c r="D1022" s="114"/>
      <c r="E1022" s="114"/>
      <c r="F1022" s="114"/>
      <c r="G1022" s="121"/>
      <c r="H1022" s="42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  <c r="AA1022" s="114"/>
      <c r="AB1022" s="114"/>
      <c r="AC1022" s="114"/>
      <c r="AD1022" s="114"/>
      <c r="AE1022" s="114"/>
      <c r="AF1022" s="114"/>
      <c r="AG1022" s="114"/>
    </row>
    <row r="1023">
      <c r="A1023" s="114"/>
      <c r="B1023" s="114"/>
      <c r="C1023" s="114"/>
      <c r="D1023" s="114"/>
      <c r="E1023" s="114"/>
      <c r="F1023" s="114"/>
      <c r="G1023" s="121"/>
      <c r="H1023" s="42"/>
      <c r="I1023" s="114"/>
      <c r="J1023" s="114"/>
      <c r="K1023" s="114"/>
      <c r="L1023" s="114"/>
      <c r="M1023" s="114"/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  <c r="AA1023" s="114"/>
      <c r="AB1023" s="114"/>
      <c r="AC1023" s="114"/>
      <c r="AD1023" s="114"/>
      <c r="AE1023" s="114"/>
      <c r="AF1023" s="114"/>
      <c r="AG1023" s="114"/>
    </row>
    <row r="1024">
      <c r="A1024" s="114"/>
      <c r="B1024" s="114"/>
      <c r="C1024" s="114"/>
      <c r="D1024" s="114"/>
      <c r="E1024" s="114"/>
      <c r="F1024" s="114"/>
      <c r="G1024" s="121"/>
      <c r="H1024" s="42"/>
      <c r="I1024" s="114"/>
      <c r="J1024" s="114"/>
      <c r="K1024" s="114"/>
      <c r="L1024" s="114"/>
      <c r="M1024" s="114"/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  <c r="AA1024" s="114"/>
      <c r="AB1024" s="114"/>
      <c r="AC1024" s="114"/>
      <c r="AD1024" s="114"/>
      <c r="AE1024" s="114"/>
      <c r="AF1024" s="114"/>
      <c r="AG1024" s="114"/>
    </row>
    <row r="1025">
      <c r="A1025" s="114"/>
      <c r="B1025" s="114"/>
      <c r="C1025" s="114"/>
      <c r="D1025" s="114"/>
      <c r="E1025" s="114"/>
      <c r="F1025" s="114"/>
      <c r="G1025" s="121"/>
      <c r="H1025" s="42"/>
      <c r="I1025" s="114"/>
      <c r="J1025" s="114"/>
      <c r="K1025" s="114"/>
      <c r="L1025" s="114"/>
      <c r="M1025" s="114"/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  <c r="AA1025" s="114"/>
      <c r="AB1025" s="114"/>
      <c r="AC1025" s="114"/>
      <c r="AD1025" s="114"/>
      <c r="AE1025" s="114"/>
      <c r="AF1025" s="114"/>
      <c r="AG1025" s="114"/>
    </row>
    <row r="1026">
      <c r="A1026" s="114"/>
      <c r="B1026" s="114"/>
      <c r="C1026" s="114"/>
      <c r="D1026" s="114"/>
      <c r="E1026" s="114"/>
      <c r="F1026" s="114"/>
      <c r="G1026" s="121"/>
      <c r="H1026" s="42"/>
      <c r="I1026" s="114"/>
      <c r="J1026" s="114"/>
      <c r="K1026" s="114"/>
      <c r="L1026" s="114"/>
      <c r="M1026" s="114"/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  <c r="AA1026" s="114"/>
      <c r="AB1026" s="114"/>
      <c r="AC1026" s="114"/>
      <c r="AD1026" s="114"/>
      <c r="AE1026" s="114"/>
      <c r="AF1026" s="114"/>
      <c r="AG1026" s="114"/>
    </row>
    <row r="1027">
      <c r="A1027" s="114"/>
      <c r="B1027" s="114"/>
      <c r="C1027" s="114"/>
      <c r="D1027" s="114"/>
      <c r="E1027" s="114"/>
      <c r="F1027" s="114"/>
      <c r="G1027" s="121"/>
      <c r="H1027" s="42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  <c r="AA1027" s="114"/>
      <c r="AB1027" s="114"/>
      <c r="AC1027" s="114"/>
      <c r="AD1027" s="114"/>
      <c r="AE1027" s="114"/>
      <c r="AF1027" s="114"/>
      <c r="AG1027" s="114"/>
    </row>
    <row r="1028">
      <c r="A1028" s="114"/>
      <c r="B1028" s="114"/>
      <c r="C1028" s="114"/>
      <c r="D1028" s="114"/>
      <c r="E1028" s="114"/>
      <c r="F1028" s="114"/>
      <c r="G1028" s="121"/>
      <c r="H1028" s="42"/>
      <c r="I1028" s="114"/>
      <c r="J1028" s="114"/>
      <c r="K1028" s="114"/>
      <c r="L1028" s="114"/>
      <c r="M1028" s="114"/>
      <c r="N1028" s="114"/>
      <c r="O1028" s="114"/>
      <c r="P1028" s="114"/>
      <c r="Q1028" s="114"/>
      <c r="R1028" s="114"/>
      <c r="S1028" s="114"/>
      <c r="T1028" s="114"/>
      <c r="U1028" s="114"/>
      <c r="V1028" s="114"/>
      <c r="W1028" s="114"/>
      <c r="X1028" s="114"/>
      <c r="Y1028" s="114"/>
      <c r="Z1028" s="114"/>
      <c r="AA1028" s="114"/>
      <c r="AB1028" s="114"/>
      <c r="AC1028" s="114"/>
      <c r="AD1028" s="114"/>
      <c r="AE1028" s="114"/>
      <c r="AF1028" s="114"/>
      <c r="AG1028" s="114"/>
    </row>
    <row r="1029">
      <c r="A1029" s="114"/>
      <c r="B1029" s="114"/>
      <c r="C1029" s="114"/>
      <c r="D1029" s="114"/>
      <c r="E1029" s="114"/>
      <c r="F1029" s="114"/>
      <c r="G1029" s="121"/>
      <c r="H1029" s="42"/>
      <c r="I1029" s="114"/>
      <c r="J1029" s="114"/>
      <c r="K1029" s="114"/>
      <c r="L1029" s="114"/>
      <c r="M1029" s="114"/>
      <c r="N1029" s="114"/>
      <c r="O1029" s="114"/>
      <c r="P1029" s="114"/>
      <c r="Q1029" s="114"/>
      <c r="R1029" s="114"/>
      <c r="S1029" s="114"/>
      <c r="T1029" s="114"/>
      <c r="U1029" s="114"/>
      <c r="V1029" s="114"/>
      <c r="W1029" s="114"/>
      <c r="X1029" s="114"/>
      <c r="Y1029" s="114"/>
      <c r="Z1029" s="114"/>
      <c r="AA1029" s="114"/>
      <c r="AB1029" s="114"/>
      <c r="AC1029" s="114"/>
      <c r="AD1029" s="114"/>
      <c r="AE1029" s="114"/>
      <c r="AF1029" s="114"/>
      <c r="AG1029" s="114"/>
    </row>
    <row r="1030">
      <c r="A1030" s="114"/>
      <c r="B1030" s="114"/>
      <c r="C1030" s="114"/>
      <c r="D1030" s="114"/>
      <c r="E1030" s="114"/>
      <c r="F1030" s="114"/>
      <c r="G1030" s="121"/>
      <c r="H1030" s="42"/>
      <c r="I1030" s="114"/>
      <c r="J1030" s="114"/>
      <c r="K1030" s="114"/>
      <c r="L1030" s="114"/>
      <c r="M1030" s="114"/>
      <c r="N1030" s="114"/>
      <c r="O1030" s="114"/>
      <c r="P1030" s="114"/>
      <c r="Q1030" s="114"/>
      <c r="R1030" s="114"/>
      <c r="S1030" s="114"/>
      <c r="T1030" s="114"/>
      <c r="U1030" s="114"/>
      <c r="V1030" s="114"/>
      <c r="W1030" s="114"/>
      <c r="X1030" s="114"/>
      <c r="Y1030" s="114"/>
      <c r="Z1030" s="114"/>
      <c r="AA1030" s="114"/>
      <c r="AB1030" s="114"/>
      <c r="AC1030" s="114"/>
      <c r="AD1030" s="114"/>
      <c r="AE1030" s="114"/>
      <c r="AF1030" s="114"/>
      <c r="AG1030" s="114"/>
    </row>
    <row r="1031">
      <c r="A1031" s="114"/>
      <c r="B1031" s="114"/>
      <c r="C1031" s="114"/>
      <c r="D1031" s="114"/>
      <c r="E1031" s="114"/>
      <c r="F1031" s="114"/>
      <c r="G1031" s="121"/>
      <c r="H1031" s="42"/>
      <c r="I1031" s="114"/>
      <c r="J1031" s="114"/>
      <c r="K1031" s="114"/>
      <c r="L1031" s="114"/>
      <c r="M1031" s="114"/>
      <c r="N1031" s="114"/>
      <c r="O1031" s="114"/>
      <c r="P1031" s="114"/>
      <c r="Q1031" s="114"/>
      <c r="R1031" s="114"/>
      <c r="S1031" s="114"/>
      <c r="T1031" s="114"/>
      <c r="U1031" s="114"/>
      <c r="V1031" s="114"/>
      <c r="W1031" s="114"/>
      <c r="X1031" s="114"/>
      <c r="Y1031" s="114"/>
      <c r="Z1031" s="114"/>
      <c r="AA1031" s="114"/>
      <c r="AB1031" s="114"/>
      <c r="AC1031" s="114"/>
      <c r="AD1031" s="114"/>
      <c r="AE1031" s="114"/>
      <c r="AF1031" s="114"/>
      <c r="AG1031" s="114"/>
    </row>
    <row r="1032">
      <c r="A1032" s="114"/>
      <c r="B1032" s="114"/>
      <c r="C1032" s="114"/>
      <c r="D1032" s="114"/>
      <c r="E1032" s="114"/>
      <c r="F1032" s="114"/>
      <c r="G1032" s="121"/>
      <c r="H1032" s="42"/>
      <c r="I1032" s="114"/>
      <c r="J1032" s="114"/>
      <c r="K1032" s="114"/>
      <c r="L1032" s="114"/>
      <c r="M1032" s="114"/>
      <c r="N1032" s="114"/>
      <c r="O1032" s="114"/>
      <c r="P1032" s="114"/>
      <c r="Q1032" s="114"/>
      <c r="R1032" s="114"/>
      <c r="S1032" s="114"/>
      <c r="T1032" s="114"/>
      <c r="U1032" s="114"/>
      <c r="V1032" s="114"/>
      <c r="W1032" s="114"/>
      <c r="X1032" s="114"/>
      <c r="Y1032" s="114"/>
      <c r="Z1032" s="114"/>
      <c r="AA1032" s="114"/>
      <c r="AB1032" s="114"/>
      <c r="AC1032" s="114"/>
      <c r="AD1032" s="114"/>
      <c r="AE1032" s="114"/>
      <c r="AF1032" s="114"/>
      <c r="AG1032" s="114"/>
    </row>
    <row r="1033">
      <c r="A1033" s="114"/>
      <c r="B1033" s="114"/>
      <c r="C1033" s="114"/>
      <c r="D1033" s="114"/>
      <c r="E1033" s="114"/>
      <c r="F1033" s="114"/>
      <c r="G1033" s="121"/>
      <c r="H1033" s="42"/>
      <c r="I1033" s="114"/>
      <c r="J1033" s="114"/>
      <c r="K1033" s="114"/>
      <c r="L1033" s="114"/>
      <c r="M1033" s="114"/>
      <c r="N1033" s="114"/>
      <c r="O1033" s="114"/>
      <c r="P1033" s="114"/>
      <c r="Q1033" s="114"/>
      <c r="R1033" s="114"/>
      <c r="S1033" s="114"/>
      <c r="T1033" s="114"/>
      <c r="U1033" s="114"/>
      <c r="V1033" s="114"/>
      <c r="W1033" s="114"/>
      <c r="X1033" s="114"/>
      <c r="Y1033" s="114"/>
      <c r="Z1033" s="114"/>
      <c r="AA1033" s="114"/>
      <c r="AB1033" s="114"/>
      <c r="AC1033" s="114"/>
      <c r="AD1033" s="114"/>
      <c r="AE1033" s="114"/>
      <c r="AF1033" s="114"/>
      <c r="AG1033" s="114"/>
    </row>
    <row r="1034">
      <c r="A1034" s="114"/>
      <c r="B1034" s="114"/>
      <c r="C1034" s="114"/>
      <c r="D1034" s="114"/>
      <c r="E1034" s="114"/>
      <c r="F1034" s="114"/>
      <c r="G1034" s="121"/>
      <c r="H1034" s="42"/>
      <c r="I1034" s="114"/>
      <c r="J1034" s="114"/>
      <c r="K1034" s="114"/>
      <c r="L1034" s="114"/>
      <c r="M1034" s="114"/>
      <c r="N1034" s="114"/>
      <c r="O1034" s="114"/>
      <c r="P1034" s="114"/>
      <c r="Q1034" s="114"/>
      <c r="R1034" s="114"/>
      <c r="S1034" s="114"/>
      <c r="T1034" s="114"/>
      <c r="U1034" s="114"/>
      <c r="V1034" s="114"/>
      <c r="W1034" s="114"/>
      <c r="X1034" s="114"/>
      <c r="Y1034" s="114"/>
      <c r="Z1034" s="114"/>
      <c r="AA1034" s="114"/>
      <c r="AB1034" s="114"/>
      <c r="AC1034" s="114"/>
      <c r="AD1034" s="114"/>
      <c r="AE1034" s="114"/>
      <c r="AF1034" s="114"/>
      <c r="AG1034" s="114"/>
    </row>
    <row r="1035">
      <c r="A1035" s="114"/>
      <c r="B1035" s="114"/>
      <c r="C1035" s="114"/>
      <c r="D1035" s="114"/>
      <c r="E1035" s="114"/>
      <c r="F1035" s="114"/>
      <c r="G1035" s="121"/>
      <c r="H1035" s="42"/>
      <c r="I1035" s="114"/>
      <c r="J1035" s="114"/>
      <c r="K1035" s="114"/>
      <c r="L1035" s="114"/>
      <c r="M1035" s="114"/>
      <c r="N1035" s="114"/>
      <c r="O1035" s="114"/>
      <c r="P1035" s="114"/>
      <c r="Q1035" s="114"/>
      <c r="R1035" s="114"/>
      <c r="S1035" s="114"/>
      <c r="T1035" s="114"/>
      <c r="U1035" s="114"/>
      <c r="V1035" s="114"/>
      <c r="W1035" s="114"/>
      <c r="X1035" s="114"/>
      <c r="Y1035" s="114"/>
      <c r="Z1035" s="114"/>
      <c r="AA1035" s="114"/>
      <c r="AB1035" s="114"/>
      <c r="AC1035" s="114"/>
      <c r="AD1035" s="114"/>
      <c r="AE1035" s="114"/>
      <c r="AF1035" s="114"/>
      <c r="AG1035" s="114"/>
    </row>
    <row r="1036">
      <c r="A1036" s="114"/>
      <c r="B1036" s="114"/>
      <c r="C1036" s="114"/>
      <c r="D1036" s="114"/>
      <c r="E1036" s="114"/>
      <c r="F1036" s="114"/>
      <c r="G1036" s="121"/>
      <c r="H1036" s="42"/>
      <c r="I1036" s="114"/>
      <c r="J1036" s="114"/>
      <c r="K1036" s="114"/>
      <c r="L1036" s="114"/>
      <c r="M1036" s="114"/>
      <c r="N1036" s="114"/>
      <c r="O1036" s="114"/>
      <c r="P1036" s="114"/>
      <c r="Q1036" s="114"/>
      <c r="R1036" s="114"/>
      <c r="S1036" s="114"/>
      <c r="T1036" s="114"/>
      <c r="U1036" s="114"/>
      <c r="V1036" s="114"/>
      <c r="W1036" s="114"/>
      <c r="X1036" s="114"/>
      <c r="Y1036" s="114"/>
      <c r="Z1036" s="114"/>
      <c r="AA1036" s="114"/>
      <c r="AB1036" s="114"/>
      <c r="AC1036" s="114"/>
      <c r="AD1036" s="114"/>
      <c r="AE1036" s="114"/>
      <c r="AF1036" s="114"/>
      <c r="AG1036" s="114"/>
    </row>
    <row r="1037">
      <c r="A1037" s="114"/>
      <c r="B1037" s="114"/>
      <c r="C1037" s="114"/>
      <c r="D1037" s="114"/>
      <c r="E1037" s="114"/>
      <c r="F1037" s="114"/>
      <c r="G1037" s="121"/>
      <c r="H1037" s="42"/>
      <c r="I1037" s="114"/>
      <c r="J1037" s="114"/>
      <c r="K1037" s="114"/>
      <c r="L1037" s="114"/>
      <c r="M1037" s="114"/>
      <c r="N1037" s="114"/>
      <c r="O1037" s="114"/>
      <c r="P1037" s="114"/>
      <c r="Q1037" s="114"/>
      <c r="R1037" s="114"/>
      <c r="S1037" s="114"/>
      <c r="T1037" s="114"/>
      <c r="U1037" s="114"/>
      <c r="V1037" s="114"/>
      <c r="W1037" s="114"/>
      <c r="X1037" s="114"/>
      <c r="Y1037" s="114"/>
      <c r="Z1037" s="114"/>
      <c r="AA1037" s="114"/>
      <c r="AB1037" s="114"/>
      <c r="AC1037" s="114"/>
      <c r="AD1037" s="114"/>
      <c r="AE1037" s="114"/>
      <c r="AF1037" s="114"/>
      <c r="AG1037" s="114"/>
    </row>
    <row r="1038">
      <c r="A1038" s="114"/>
      <c r="B1038" s="114"/>
      <c r="C1038" s="114"/>
      <c r="D1038" s="114"/>
      <c r="E1038" s="114"/>
      <c r="F1038" s="114"/>
      <c r="G1038" s="121"/>
      <c r="H1038" s="42"/>
      <c r="I1038" s="114"/>
      <c r="J1038" s="114"/>
      <c r="K1038" s="114"/>
      <c r="L1038" s="114"/>
      <c r="M1038" s="114"/>
      <c r="N1038" s="114"/>
      <c r="O1038" s="114"/>
      <c r="P1038" s="114"/>
      <c r="Q1038" s="114"/>
      <c r="R1038" s="114"/>
      <c r="S1038" s="114"/>
      <c r="T1038" s="114"/>
      <c r="U1038" s="114"/>
      <c r="V1038" s="114"/>
      <c r="W1038" s="114"/>
      <c r="X1038" s="114"/>
      <c r="Y1038" s="114"/>
      <c r="Z1038" s="114"/>
      <c r="AA1038" s="114"/>
      <c r="AB1038" s="114"/>
      <c r="AC1038" s="114"/>
      <c r="AD1038" s="114"/>
      <c r="AE1038" s="114"/>
      <c r="AF1038" s="114"/>
      <c r="AG1038" s="114"/>
    </row>
    <row r="1039">
      <c r="A1039" s="114"/>
      <c r="B1039" s="114"/>
      <c r="C1039" s="114"/>
      <c r="D1039" s="114"/>
      <c r="E1039" s="114"/>
      <c r="F1039" s="114"/>
      <c r="G1039" s="121"/>
      <c r="H1039" s="42"/>
      <c r="I1039" s="114"/>
      <c r="J1039" s="114"/>
      <c r="K1039" s="114"/>
      <c r="L1039" s="114"/>
      <c r="M1039" s="114"/>
      <c r="N1039" s="114"/>
      <c r="O1039" s="114"/>
      <c r="P1039" s="114"/>
      <c r="Q1039" s="114"/>
      <c r="R1039" s="114"/>
      <c r="S1039" s="114"/>
      <c r="T1039" s="114"/>
      <c r="U1039" s="114"/>
      <c r="V1039" s="114"/>
      <c r="W1039" s="114"/>
      <c r="X1039" s="114"/>
      <c r="Y1039" s="114"/>
      <c r="Z1039" s="114"/>
      <c r="AA1039" s="114"/>
      <c r="AB1039" s="114"/>
      <c r="AC1039" s="114"/>
      <c r="AD1039" s="114"/>
      <c r="AE1039" s="114"/>
      <c r="AF1039" s="114"/>
      <c r="AG1039" s="114"/>
    </row>
    <row r="1040">
      <c r="A1040" s="114"/>
      <c r="B1040" s="114"/>
      <c r="C1040" s="114"/>
      <c r="D1040" s="114"/>
      <c r="E1040" s="114"/>
      <c r="F1040" s="114"/>
      <c r="G1040" s="121"/>
      <c r="H1040" s="42"/>
      <c r="I1040" s="114"/>
      <c r="J1040" s="114"/>
      <c r="K1040" s="114"/>
      <c r="L1040" s="114"/>
      <c r="M1040" s="114"/>
      <c r="N1040" s="114"/>
      <c r="O1040" s="114"/>
      <c r="P1040" s="114"/>
      <c r="Q1040" s="114"/>
      <c r="R1040" s="114"/>
      <c r="S1040" s="114"/>
      <c r="T1040" s="114"/>
      <c r="U1040" s="114"/>
      <c r="V1040" s="114"/>
      <c r="W1040" s="114"/>
      <c r="X1040" s="114"/>
      <c r="Y1040" s="114"/>
      <c r="Z1040" s="114"/>
      <c r="AA1040" s="114"/>
      <c r="AB1040" s="114"/>
      <c r="AC1040" s="114"/>
      <c r="AD1040" s="114"/>
      <c r="AE1040" s="114"/>
      <c r="AF1040" s="114"/>
      <c r="AG1040" s="114"/>
    </row>
    <row r="1041">
      <c r="A1041" s="114"/>
      <c r="B1041" s="114"/>
      <c r="C1041" s="114"/>
      <c r="D1041" s="114"/>
      <c r="E1041" s="114"/>
      <c r="F1041" s="114"/>
      <c r="G1041" s="121"/>
      <c r="H1041" s="42"/>
      <c r="I1041" s="114"/>
      <c r="J1041" s="114"/>
      <c r="K1041" s="114"/>
      <c r="L1041" s="114"/>
      <c r="M1041" s="114"/>
      <c r="N1041" s="114"/>
      <c r="O1041" s="114"/>
      <c r="P1041" s="114"/>
      <c r="Q1041" s="114"/>
      <c r="R1041" s="114"/>
      <c r="S1041" s="114"/>
      <c r="T1041" s="114"/>
      <c r="U1041" s="114"/>
      <c r="V1041" s="114"/>
      <c r="W1041" s="114"/>
      <c r="X1041" s="114"/>
      <c r="Y1041" s="114"/>
      <c r="Z1041" s="114"/>
      <c r="AA1041" s="114"/>
      <c r="AB1041" s="114"/>
      <c r="AC1041" s="114"/>
      <c r="AD1041" s="114"/>
      <c r="AE1041" s="114"/>
      <c r="AF1041" s="114"/>
      <c r="AG1041" s="114"/>
    </row>
    <row r="1042">
      <c r="A1042" s="114"/>
      <c r="B1042" s="114"/>
      <c r="C1042" s="114"/>
      <c r="D1042" s="114"/>
      <c r="E1042" s="114"/>
      <c r="F1042" s="114"/>
      <c r="G1042" s="121"/>
      <c r="H1042" s="42"/>
      <c r="I1042" s="114"/>
      <c r="J1042" s="114"/>
      <c r="K1042" s="114"/>
      <c r="L1042" s="114"/>
      <c r="M1042" s="114"/>
      <c r="N1042" s="114"/>
      <c r="O1042" s="114"/>
      <c r="P1042" s="114"/>
      <c r="Q1042" s="114"/>
      <c r="R1042" s="114"/>
      <c r="S1042" s="114"/>
      <c r="T1042" s="114"/>
      <c r="U1042" s="114"/>
      <c r="V1042" s="114"/>
      <c r="W1042" s="114"/>
      <c r="X1042" s="114"/>
      <c r="Y1042" s="114"/>
      <c r="Z1042" s="114"/>
      <c r="AA1042" s="114"/>
      <c r="AB1042" s="114"/>
      <c r="AC1042" s="114"/>
      <c r="AD1042" s="114"/>
      <c r="AE1042" s="114"/>
      <c r="AF1042" s="114"/>
      <c r="AG1042" s="114"/>
    </row>
    <row r="1043">
      <c r="A1043" s="114"/>
      <c r="B1043" s="114"/>
      <c r="C1043" s="114"/>
      <c r="D1043" s="114"/>
      <c r="E1043" s="114"/>
      <c r="F1043" s="114"/>
      <c r="G1043" s="121"/>
      <c r="H1043" s="42"/>
      <c r="I1043" s="114"/>
      <c r="J1043" s="114"/>
      <c r="K1043" s="114"/>
      <c r="L1043" s="114"/>
      <c r="M1043" s="114"/>
      <c r="N1043" s="114"/>
      <c r="O1043" s="114"/>
      <c r="P1043" s="114"/>
      <c r="Q1043" s="114"/>
      <c r="R1043" s="114"/>
      <c r="S1043" s="114"/>
      <c r="T1043" s="114"/>
      <c r="U1043" s="114"/>
      <c r="V1043" s="114"/>
      <c r="W1043" s="114"/>
      <c r="X1043" s="114"/>
      <c r="Y1043" s="114"/>
      <c r="Z1043" s="114"/>
      <c r="AA1043" s="114"/>
      <c r="AB1043" s="114"/>
      <c r="AC1043" s="114"/>
      <c r="AD1043" s="114"/>
      <c r="AE1043" s="114"/>
      <c r="AF1043" s="114"/>
      <c r="AG1043" s="114"/>
    </row>
    <row r="1044">
      <c r="A1044" s="114"/>
      <c r="B1044" s="114"/>
      <c r="C1044" s="114"/>
      <c r="D1044" s="114"/>
      <c r="E1044" s="114"/>
      <c r="F1044" s="114"/>
      <c r="G1044" s="121"/>
      <c r="H1044" s="42"/>
      <c r="I1044" s="114"/>
      <c r="J1044" s="114"/>
      <c r="K1044" s="114"/>
      <c r="L1044" s="114"/>
      <c r="M1044" s="114"/>
      <c r="N1044" s="114"/>
      <c r="O1044" s="114"/>
      <c r="P1044" s="114"/>
      <c r="Q1044" s="114"/>
      <c r="R1044" s="114"/>
      <c r="S1044" s="114"/>
      <c r="T1044" s="114"/>
      <c r="U1044" s="114"/>
      <c r="V1044" s="114"/>
      <c r="W1044" s="114"/>
      <c r="X1044" s="114"/>
      <c r="Y1044" s="114"/>
      <c r="Z1044" s="114"/>
      <c r="AA1044" s="114"/>
      <c r="AB1044" s="114"/>
      <c r="AC1044" s="114"/>
      <c r="AD1044" s="114"/>
      <c r="AE1044" s="114"/>
      <c r="AF1044" s="114"/>
      <c r="AG1044" s="114"/>
    </row>
    <row r="1045">
      <c r="A1045" s="114"/>
      <c r="B1045" s="114"/>
      <c r="C1045" s="114"/>
      <c r="D1045" s="114"/>
      <c r="E1045" s="114"/>
      <c r="F1045" s="114"/>
      <c r="G1045" s="121"/>
      <c r="H1045" s="42"/>
      <c r="I1045" s="114"/>
      <c r="J1045" s="114"/>
      <c r="K1045" s="114"/>
      <c r="L1045" s="114"/>
      <c r="M1045" s="114"/>
      <c r="N1045" s="114"/>
      <c r="O1045" s="114"/>
      <c r="P1045" s="114"/>
      <c r="Q1045" s="114"/>
      <c r="R1045" s="114"/>
      <c r="S1045" s="114"/>
      <c r="T1045" s="114"/>
      <c r="U1045" s="114"/>
      <c r="V1045" s="114"/>
      <c r="W1045" s="114"/>
      <c r="X1045" s="114"/>
      <c r="Y1045" s="114"/>
      <c r="Z1045" s="114"/>
      <c r="AA1045" s="114"/>
      <c r="AB1045" s="114"/>
      <c r="AC1045" s="114"/>
      <c r="AD1045" s="114"/>
      <c r="AE1045" s="114"/>
      <c r="AF1045" s="114"/>
      <c r="AG1045" s="114"/>
    </row>
    <row r="1046">
      <c r="A1046" s="114"/>
      <c r="B1046" s="114"/>
      <c r="C1046" s="114"/>
      <c r="D1046" s="114"/>
      <c r="E1046" s="114"/>
      <c r="F1046" s="114"/>
      <c r="G1046" s="121"/>
      <c r="H1046" s="42"/>
      <c r="I1046" s="114"/>
      <c r="J1046" s="114"/>
      <c r="K1046" s="114"/>
      <c r="L1046" s="114"/>
      <c r="M1046" s="114"/>
      <c r="N1046" s="114"/>
      <c r="O1046" s="114"/>
      <c r="P1046" s="114"/>
      <c r="Q1046" s="114"/>
      <c r="R1046" s="114"/>
      <c r="S1046" s="114"/>
      <c r="T1046" s="114"/>
      <c r="U1046" s="114"/>
      <c r="V1046" s="114"/>
      <c r="W1046" s="114"/>
      <c r="X1046" s="114"/>
      <c r="Y1046" s="114"/>
      <c r="Z1046" s="114"/>
      <c r="AA1046" s="114"/>
      <c r="AB1046" s="114"/>
      <c r="AC1046" s="114"/>
      <c r="AD1046" s="114"/>
      <c r="AE1046" s="114"/>
      <c r="AF1046" s="114"/>
      <c r="AG1046" s="114"/>
    </row>
    <row r="1047">
      <c r="A1047" s="114"/>
      <c r="B1047" s="114"/>
      <c r="C1047" s="114"/>
      <c r="D1047" s="114"/>
      <c r="E1047" s="114"/>
      <c r="F1047" s="114"/>
      <c r="G1047" s="121"/>
      <c r="H1047" s="42"/>
      <c r="I1047" s="114"/>
      <c r="J1047" s="114"/>
      <c r="K1047" s="114"/>
      <c r="L1047" s="114"/>
      <c r="M1047" s="114"/>
      <c r="N1047" s="114"/>
      <c r="O1047" s="114"/>
      <c r="P1047" s="114"/>
      <c r="Q1047" s="114"/>
      <c r="R1047" s="114"/>
      <c r="S1047" s="114"/>
      <c r="T1047" s="114"/>
      <c r="U1047" s="114"/>
      <c r="V1047" s="114"/>
      <c r="W1047" s="114"/>
      <c r="X1047" s="114"/>
      <c r="Y1047" s="114"/>
      <c r="Z1047" s="114"/>
      <c r="AA1047" s="114"/>
      <c r="AB1047" s="114"/>
      <c r="AC1047" s="114"/>
      <c r="AD1047" s="114"/>
      <c r="AE1047" s="114"/>
      <c r="AF1047" s="114"/>
      <c r="AG1047" s="114"/>
    </row>
    <row r="1048">
      <c r="A1048" s="114"/>
      <c r="B1048" s="114"/>
      <c r="C1048" s="114"/>
      <c r="D1048" s="114"/>
      <c r="E1048" s="114"/>
      <c r="F1048" s="114"/>
      <c r="G1048" s="121"/>
      <c r="H1048" s="42"/>
      <c r="I1048" s="114"/>
      <c r="J1048" s="114"/>
      <c r="K1048" s="114"/>
      <c r="L1048" s="114"/>
      <c r="M1048" s="114"/>
      <c r="N1048" s="114"/>
      <c r="O1048" s="114"/>
      <c r="P1048" s="114"/>
      <c r="Q1048" s="114"/>
      <c r="R1048" s="114"/>
      <c r="S1048" s="114"/>
      <c r="T1048" s="114"/>
      <c r="U1048" s="114"/>
      <c r="V1048" s="114"/>
      <c r="W1048" s="114"/>
      <c r="X1048" s="114"/>
      <c r="Y1048" s="114"/>
      <c r="Z1048" s="114"/>
      <c r="AA1048" s="114"/>
      <c r="AB1048" s="114"/>
      <c r="AC1048" s="114"/>
      <c r="AD1048" s="114"/>
      <c r="AE1048" s="114"/>
      <c r="AF1048" s="114"/>
      <c r="AG1048" s="114"/>
    </row>
    <row r="1049">
      <c r="A1049" s="114"/>
      <c r="B1049" s="114"/>
      <c r="C1049" s="114"/>
      <c r="D1049" s="114"/>
      <c r="E1049" s="114"/>
      <c r="F1049" s="114"/>
      <c r="G1049" s="121"/>
      <c r="H1049" s="42"/>
      <c r="I1049" s="114"/>
      <c r="J1049" s="114"/>
      <c r="K1049" s="114"/>
      <c r="L1049" s="114"/>
      <c r="M1049" s="114"/>
      <c r="N1049" s="114"/>
      <c r="O1049" s="114"/>
      <c r="P1049" s="114"/>
      <c r="Q1049" s="114"/>
      <c r="R1049" s="114"/>
      <c r="S1049" s="114"/>
      <c r="T1049" s="114"/>
      <c r="U1049" s="114"/>
      <c r="V1049" s="114"/>
      <c r="W1049" s="114"/>
      <c r="X1049" s="114"/>
      <c r="Y1049" s="114"/>
      <c r="Z1049" s="114"/>
      <c r="AA1049" s="114"/>
      <c r="AB1049" s="114"/>
      <c r="AC1049" s="114"/>
      <c r="AD1049" s="114"/>
      <c r="AE1049" s="114"/>
      <c r="AF1049" s="114"/>
      <c r="AG1049" s="114"/>
    </row>
    <row r="1050">
      <c r="A1050" s="114"/>
      <c r="B1050" s="114"/>
      <c r="C1050" s="114"/>
      <c r="D1050" s="114"/>
      <c r="E1050" s="114"/>
      <c r="F1050" s="114"/>
      <c r="G1050" s="121"/>
      <c r="H1050" s="42"/>
      <c r="I1050" s="114"/>
      <c r="J1050" s="114"/>
      <c r="K1050" s="114"/>
      <c r="L1050" s="114"/>
      <c r="M1050" s="114"/>
      <c r="N1050" s="114"/>
      <c r="O1050" s="114"/>
      <c r="P1050" s="114"/>
      <c r="Q1050" s="114"/>
      <c r="R1050" s="114"/>
      <c r="S1050" s="114"/>
      <c r="T1050" s="114"/>
      <c r="U1050" s="114"/>
      <c r="V1050" s="114"/>
      <c r="W1050" s="114"/>
      <c r="X1050" s="114"/>
      <c r="Y1050" s="114"/>
      <c r="Z1050" s="114"/>
      <c r="AA1050" s="114"/>
      <c r="AB1050" s="114"/>
      <c r="AC1050" s="114"/>
      <c r="AD1050" s="114"/>
      <c r="AE1050" s="114"/>
      <c r="AF1050" s="114"/>
      <c r="AG1050" s="114"/>
    </row>
    <row r="1051">
      <c r="A1051" s="114"/>
      <c r="B1051" s="114"/>
      <c r="C1051" s="114"/>
      <c r="D1051" s="114"/>
      <c r="E1051" s="114"/>
      <c r="F1051" s="114"/>
      <c r="G1051" s="121"/>
      <c r="H1051" s="42"/>
      <c r="I1051" s="114"/>
      <c r="J1051" s="114"/>
      <c r="K1051" s="114"/>
      <c r="L1051" s="114"/>
      <c r="M1051" s="114"/>
      <c r="N1051" s="114"/>
      <c r="O1051" s="114"/>
      <c r="P1051" s="114"/>
      <c r="Q1051" s="114"/>
      <c r="R1051" s="114"/>
      <c r="S1051" s="114"/>
      <c r="T1051" s="114"/>
      <c r="U1051" s="114"/>
      <c r="V1051" s="114"/>
      <c r="W1051" s="114"/>
      <c r="X1051" s="114"/>
      <c r="Y1051" s="114"/>
      <c r="Z1051" s="114"/>
      <c r="AA1051" s="114"/>
      <c r="AB1051" s="114"/>
      <c r="AC1051" s="114"/>
      <c r="AD1051" s="114"/>
      <c r="AE1051" s="114"/>
      <c r="AF1051" s="114"/>
      <c r="AG1051" s="114"/>
    </row>
    <row r="1052">
      <c r="A1052" s="114"/>
      <c r="B1052" s="114"/>
      <c r="C1052" s="114"/>
      <c r="D1052" s="114"/>
      <c r="E1052" s="114"/>
      <c r="F1052" s="114"/>
      <c r="G1052" s="121"/>
      <c r="H1052" s="42"/>
      <c r="I1052" s="114"/>
      <c r="J1052" s="114"/>
      <c r="K1052" s="114"/>
      <c r="L1052" s="114"/>
      <c r="M1052" s="114"/>
      <c r="N1052" s="114"/>
      <c r="O1052" s="114"/>
      <c r="P1052" s="114"/>
      <c r="Q1052" s="114"/>
      <c r="R1052" s="114"/>
      <c r="S1052" s="114"/>
      <c r="T1052" s="114"/>
      <c r="U1052" s="114"/>
      <c r="V1052" s="114"/>
      <c r="W1052" s="114"/>
      <c r="X1052" s="114"/>
      <c r="Y1052" s="114"/>
      <c r="Z1052" s="114"/>
      <c r="AA1052" s="114"/>
      <c r="AB1052" s="114"/>
      <c r="AC1052" s="114"/>
      <c r="AD1052" s="114"/>
      <c r="AE1052" s="114"/>
      <c r="AF1052" s="114"/>
      <c r="AG1052" s="114"/>
    </row>
    <row r="1053">
      <c r="A1053" s="114"/>
      <c r="B1053" s="114"/>
      <c r="C1053" s="114"/>
      <c r="D1053" s="114"/>
      <c r="E1053" s="114"/>
      <c r="F1053" s="114"/>
      <c r="G1053" s="121"/>
      <c r="H1053" s="42"/>
      <c r="I1053" s="114"/>
      <c r="J1053" s="114"/>
      <c r="K1053" s="114"/>
      <c r="L1053" s="114"/>
      <c r="M1053" s="114"/>
      <c r="N1053" s="114"/>
      <c r="O1053" s="114"/>
      <c r="P1053" s="114"/>
      <c r="Q1053" s="114"/>
      <c r="R1053" s="114"/>
      <c r="S1053" s="114"/>
      <c r="T1053" s="114"/>
      <c r="U1053" s="114"/>
      <c r="V1053" s="114"/>
      <c r="W1053" s="114"/>
      <c r="X1053" s="114"/>
      <c r="Y1053" s="114"/>
      <c r="Z1053" s="114"/>
      <c r="AA1053" s="114"/>
      <c r="AB1053" s="114"/>
      <c r="AC1053" s="114"/>
      <c r="AD1053" s="114"/>
      <c r="AE1053" s="114"/>
      <c r="AF1053" s="114"/>
      <c r="AG1053" s="114"/>
    </row>
    <row r="1054">
      <c r="A1054" s="114"/>
      <c r="B1054" s="114"/>
      <c r="C1054" s="114"/>
      <c r="D1054" s="114"/>
      <c r="E1054" s="114"/>
      <c r="F1054" s="114"/>
      <c r="G1054" s="121"/>
      <c r="H1054" s="42"/>
      <c r="I1054" s="114"/>
      <c r="J1054" s="114"/>
      <c r="K1054" s="114"/>
      <c r="L1054" s="114"/>
      <c r="M1054" s="114"/>
      <c r="N1054" s="114"/>
      <c r="O1054" s="114"/>
      <c r="P1054" s="114"/>
      <c r="Q1054" s="114"/>
      <c r="R1054" s="114"/>
      <c r="S1054" s="114"/>
      <c r="T1054" s="114"/>
      <c r="U1054" s="114"/>
      <c r="V1054" s="114"/>
      <c r="W1054" s="114"/>
      <c r="X1054" s="114"/>
      <c r="Y1054" s="114"/>
      <c r="Z1054" s="114"/>
      <c r="AA1054" s="114"/>
      <c r="AB1054" s="114"/>
      <c r="AC1054" s="114"/>
      <c r="AD1054" s="114"/>
      <c r="AE1054" s="114"/>
      <c r="AF1054" s="114"/>
      <c r="AG1054" s="114"/>
    </row>
    <row r="1055">
      <c r="A1055" s="114"/>
      <c r="B1055" s="114"/>
      <c r="C1055" s="114"/>
      <c r="D1055" s="114"/>
      <c r="E1055" s="114"/>
      <c r="F1055" s="114"/>
      <c r="G1055" s="121"/>
      <c r="H1055" s="42"/>
      <c r="I1055" s="114"/>
      <c r="J1055" s="114"/>
      <c r="K1055" s="114"/>
      <c r="L1055" s="114"/>
      <c r="M1055" s="114"/>
      <c r="N1055" s="114"/>
      <c r="O1055" s="114"/>
      <c r="P1055" s="114"/>
      <c r="Q1055" s="114"/>
      <c r="R1055" s="114"/>
      <c r="S1055" s="114"/>
      <c r="T1055" s="114"/>
      <c r="U1055" s="114"/>
      <c r="V1055" s="114"/>
      <c r="W1055" s="114"/>
      <c r="X1055" s="114"/>
      <c r="Y1055" s="114"/>
      <c r="Z1055" s="114"/>
      <c r="AA1055" s="114"/>
      <c r="AB1055" s="114"/>
      <c r="AC1055" s="114"/>
      <c r="AD1055" s="114"/>
      <c r="AE1055" s="114"/>
      <c r="AF1055" s="114"/>
      <c r="AG1055" s="114"/>
    </row>
    <row r="1056">
      <c r="A1056" s="114"/>
      <c r="B1056" s="114"/>
      <c r="C1056" s="114"/>
      <c r="D1056" s="114"/>
      <c r="E1056" s="114"/>
      <c r="F1056" s="114"/>
      <c r="G1056" s="121"/>
      <c r="H1056" s="42"/>
      <c r="I1056" s="114"/>
      <c r="J1056" s="114"/>
      <c r="K1056" s="114"/>
      <c r="L1056" s="114"/>
      <c r="M1056" s="114"/>
      <c r="N1056" s="114"/>
      <c r="O1056" s="114"/>
      <c r="P1056" s="114"/>
      <c r="Q1056" s="114"/>
      <c r="R1056" s="114"/>
      <c r="S1056" s="114"/>
      <c r="T1056" s="114"/>
      <c r="U1056" s="114"/>
      <c r="V1056" s="114"/>
      <c r="W1056" s="114"/>
      <c r="X1056" s="114"/>
      <c r="Y1056" s="114"/>
      <c r="Z1056" s="114"/>
      <c r="AA1056" s="114"/>
      <c r="AB1056" s="114"/>
      <c r="AC1056" s="114"/>
      <c r="AD1056" s="114"/>
      <c r="AE1056" s="114"/>
      <c r="AF1056" s="114"/>
      <c r="AG1056" s="114"/>
    </row>
    <row r="1057">
      <c r="A1057" s="114"/>
      <c r="B1057" s="114"/>
      <c r="C1057" s="114"/>
      <c r="D1057" s="114"/>
      <c r="E1057" s="114"/>
      <c r="F1057" s="114"/>
      <c r="G1057" s="121"/>
      <c r="H1057" s="42"/>
      <c r="I1057" s="114"/>
      <c r="J1057" s="114"/>
      <c r="K1057" s="114"/>
      <c r="L1057" s="114"/>
      <c r="M1057" s="114"/>
      <c r="N1057" s="114"/>
      <c r="O1057" s="114"/>
      <c r="P1057" s="114"/>
      <c r="Q1057" s="114"/>
      <c r="R1057" s="114"/>
      <c r="S1057" s="114"/>
      <c r="T1057" s="114"/>
      <c r="U1057" s="114"/>
      <c r="V1057" s="114"/>
      <c r="W1057" s="114"/>
      <c r="X1057" s="114"/>
      <c r="Y1057" s="114"/>
      <c r="Z1057" s="114"/>
      <c r="AA1057" s="114"/>
      <c r="AB1057" s="114"/>
      <c r="AC1057" s="114"/>
      <c r="AD1057" s="114"/>
      <c r="AE1057" s="114"/>
      <c r="AF1057" s="114"/>
      <c r="AG1057" s="114"/>
    </row>
    <row r="1058">
      <c r="A1058" s="114"/>
      <c r="B1058" s="114"/>
      <c r="C1058" s="114"/>
      <c r="D1058" s="114"/>
      <c r="E1058" s="114"/>
      <c r="F1058" s="114"/>
      <c r="G1058" s="121"/>
      <c r="H1058" s="42"/>
      <c r="I1058" s="114"/>
      <c r="J1058" s="114"/>
      <c r="K1058" s="114"/>
      <c r="L1058" s="114"/>
      <c r="M1058" s="114"/>
      <c r="N1058" s="114"/>
      <c r="O1058" s="114"/>
      <c r="P1058" s="114"/>
      <c r="Q1058" s="114"/>
      <c r="R1058" s="114"/>
      <c r="S1058" s="114"/>
      <c r="T1058" s="114"/>
      <c r="U1058" s="114"/>
      <c r="V1058" s="114"/>
      <c r="W1058" s="114"/>
      <c r="X1058" s="114"/>
      <c r="Y1058" s="114"/>
      <c r="Z1058" s="114"/>
      <c r="AA1058" s="114"/>
      <c r="AB1058" s="114"/>
      <c r="AC1058" s="114"/>
      <c r="AD1058" s="114"/>
      <c r="AE1058" s="114"/>
      <c r="AF1058" s="114"/>
      <c r="AG1058" s="114"/>
    </row>
    <row r="1059">
      <c r="A1059" s="114"/>
      <c r="B1059" s="114"/>
      <c r="C1059" s="114"/>
      <c r="D1059" s="114"/>
      <c r="E1059" s="114"/>
      <c r="F1059" s="114"/>
      <c r="G1059" s="121"/>
      <c r="H1059" s="42"/>
      <c r="I1059" s="114"/>
      <c r="J1059" s="114"/>
      <c r="K1059" s="114"/>
      <c r="L1059" s="114"/>
      <c r="M1059" s="114"/>
      <c r="N1059" s="114"/>
      <c r="O1059" s="114"/>
      <c r="P1059" s="114"/>
      <c r="Q1059" s="114"/>
      <c r="R1059" s="114"/>
      <c r="S1059" s="114"/>
      <c r="T1059" s="114"/>
      <c r="U1059" s="114"/>
      <c r="V1059" s="114"/>
      <c r="W1059" s="114"/>
      <c r="X1059" s="114"/>
      <c r="Y1059" s="114"/>
      <c r="Z1059" s="114"/>
      <c r="AA1059" s="114"/>
      <c r="AB1059" s="114"/>
      <c r="AC1059" s="114"/>
      <c r="AD1059" s="114"/>
      <c r="AE1059" s="114"/>
      <c r="AF1059" s="114"/>
      <c r="AG1059" s="114"/>
    </row>
    <row r="1060">
      <c r="A1060" s="114"/>
      <c r="B1060" s="114"/>
      <c r="C1060" s="114"/>
      <c r="D1060" s="114"/>
      <c r="E1060" s="114"/>
      <c r="F1060" s="114"/>
      <c r="G1060" s="121"/>
      <c r="H1060" s="42"/>
      <c r="I1060" s="114"/>
      <c r="J1060" s="114"/>
      <c r="K1060" s="114"/>
      <c r="L1060" s="114"/>
      <c r="M1060" s="114"/>
      <c r="N1060" s="114"/>
      <c r="O1060" s="114"/>
      <c r="P1060" s="114"/>
      <c r="Q1060" s="114"/>
      <c r="R1060" s="114"/>
      <c r="S1060" s="114"/>
      <c r="T1060" s="114"/>
      <c r="U1060" s="114"/>
      <c r="V1060" s="114"/>
      <c r="W1060" s="114"/>
      <c r="X1060" s="114"/>
      <c r="Y1060" s="114"/>
      <c r="Z1060" s="114"/>
      <c r="AA1060" s="114"/>
      <c r="AB1060" s="114"/>
      <c r="AC1060" s="114"/>
      <c r="AD1060" s="114"/>
      <c r="AE1060" s="114"/>
      <c r="AF1060" s="114"/>
      <c r="AG1060" s="114"/>
    </row>
    <row r="1061">
      <c r="A1061" s="114"/>
      <c r="B1061" s="114"/>
      <c r="C1061" s="114"/>
      <c r="D1061" s="114"/>
      <c r="E1061" s="114"/>
      <c r="F1061" s="114"/>
      <c r="G1061" s="121"/>
      <c r="H1061" s="42"/>
      <c r="I1061" s="114"/>
      <c r="J1061" s="114"/>
      <c r="K1061" s="114"/>
      <c r="L1061" s="114"/>
      <c r="M1061" s="114"/>
      <c r="N1061" s="114"/>
      <c r="O1061" s="114"/>
      <c r="P1061" s="114"/>
      <c r="Q1061" s="114"/>
      <c r="R1061" s="114"/>
      <c r="S1061" s="114"/>
      <c r="T1061" s="114"/>
      <c r="U1061" s="114"/>
      <c r="V1061" s="114"/>
      <c r="W1061" s="114"/>
      <c r="X1061" s="114"/>
      <c r="Y1061" s="114"/>
      <c r="Z1061" s="114"/>
      <c r="AA1061" s="114"/>
      <c r="AB1061" s="114"/>
      <c r="AC1061" s="114"/>
      <c r="AD1061" s="114"/>
      <c r="AE1061" s="114"/>
      <c r="AF1061" s="114"/>
      <c r="AG1061" s="114"/>
    </row>
    <row r="1062">
      <c r="A1062" s="114"/>
      <c r="B1062" s="114"/>
      <c r="C1062" s="114"/>
      <c r="D1062" s="114"/>
      <c r="E1062" s="114"/>
      <c r="F1062" s="114"/>
      <c r="G1062" s="121"/>
      <c r="H1062" s="42"/>
      <c r="I1062" s="114"/>
      <c r="J1062" s="114"/>
      <c r="K1062" s="114"/>
      <c r="L1062" s="114"/>
      <c r="M1062" s="114"/>
      <c r="N1062" s="114"/>
      <c r="O1062" s="114"/>
      <c r="P1062" s="114"/>
      <c r="Q1062" s="114"/>
      <c r="R1062" s="114"/>
      <c r="S1062" s="114"/>
      <c r="T1062" s="114"/>
      <c r="U1062" s="114"/>
      <c r="V1062" s="114"/>
      <c r="W1062" s="114"/>
      <c r="X1062" s="114"/>
      <c r="Y1062" s="114"/>
      <c r="Z1062" s="114"/>
      <c r="AA1062" s="114"/>
      <c r="AB1062" s="114"/>
      <c r="AC1062" s="114"/>
      <c r="AD1062" s="114"/>
      <c r="AE1062" s="114"/>
      <c r="AF1062" s="114"/>
      <c r="AG1062" s="114"/>
    </row>
    <row r="1063">
      <c r="A1063" s="114"/>
      <c r="B1063" s="114"/>
      <c r="C1063" s="114"/>
      <c r="D1063" s="114"/>
      <c r="E1063" s="114"/>
      <c r="F1063" s="114"/>
      <c r="G1063" s="121"/>
      <c r="H1063" s="42"/>
      <c r="I1063" s="114"/>
      <c r="J1063" s="114"/>
      <c r="K1063" s="114"/>
      <c r="L1063" s="114"/>
      <c r="M1063" s="114"/>
      <c r="N1063" s="114"/>
      <c r="O1063" s="114"/>
      <c r="P1063" s="114"/>
      <c r="Q1063" s="114"/>
      <c r="R1063" s="114"/>
      <c r="S1063" s="114"/>
      <c r="T1063" s="114"/>
      <c r="U1063" s="114"/>
      <c r="V1063" s="114"/>
      <c r="W1063" s="114"/>
      <c r="X1063" s="114"/>
      <c r="Y1063" s="114"/>
      <c r="Z1063" s="114"/>
      <c r="AA1063" s="114"/>
      <c r="AB1063" s="114"/>
      <c r="AC1063" s="114"/>
      <c r="AD1063" s="114"/>
      <c r="AE1063" s="114"/>
      <c r="AF1063" s="114"/>
      <c r="AG1063" s="114"/>
    </row>
    <row r="1064">
      <c r="A1064" s="114"/>
      <c r="B1064" s="114"/>
      <c r="C1064" s="114"/>
      <c r="D1064" s="114"/>
      <c r="E1064" s="114"/>
      <c r="F1064" s="114"/>
      <c r="G1064" s="121"/>
      <c r="H1064" s="42"/>
      <c r="I1064" s="114"/>
      <c r="J1064" s="114"/>
      <c r="K1064" s="114"/>
      <c r="L1064" s="114"/>
      <c r="M1064" s="114"/>
      <c r="N1064" s="114"/>
      <c r="O1064" s="114"/>
      <c r="P1064" s="114"/>
      <c r="Q1064" s="114"/>
      <c r="R1064" s="114"/>
      <c r="S1064" s="114"/>
      <c r="T1064" s="114"/>
      <c r="U1064" s="114"/>
      <c r="V1064" s="114"/>
      <c r="W1064" s="114"/>
      <c r="X1064" s="114"/>
      <c r="Y1064" s="114"/>
      <c r="Z1064" s="114"/>
      <c r="AA1064" s="114"/>
      <c r="AB1064" s="114"/>
      <c r="AC1064" s="114"/>
      <c r="AD1064" s="114"/>
      <c r="AE1064" s="114"/>
      <c r="AF1064" s="114"/>
      <c r="AG1064" s="114"/>
    </row>
    <row r="1065">
      <c r="A1065" s="114"/>
      <c r="B1065" s="114"/>
      <c r="C1065" s="114"/>
      <c r="D1065" s="114"/>
      <c r="E1065" s="114"/>
      <c r="F1065" s="114"/>
      <c r="G1065" s="121"/>
      <c r="H1065" s="42"/>
      <c r="I1065" s="114"/>
      <c r="J1065" s="114"/>
      <c r="K1065" s="114"/>
      <c r="L1065" s="114"/>
      <c r="M1065" s="114"/>
      <c r="N1065" s="114"/>
      <c r="O1065" s="114"/>
      <c r="P1065" s="114"/>
      <c r="Q1065" s="114"/>
      <c r="R1065" s="114"/>
      <c r="S1065" s="114"/>
      <c r="T1065" s="114"/>
      <c r="U1065" s="114"/>
      <c r="V1065" s="114"/>
      <c r="W1065" s="114"/>
      <c r="X1065" s="114"/>
      <c r="Y1065" s="114"/>
      <c r="Z1065" s="114"/>
      <c r="AA1065" s="114"/>
      <c r="AB1065" s="114"/>
      <c r="AC1065" s="114"/>
      <c r="AD1065" s="114"/>
      <c r="AE1065" s="114"/>
      <c r="AF1065" s="114"/>
      <c r="AG1065" s="114"/>
    </row>
    <row r="1066">
      <c r="A1066" s="114"/>
      <c r="B1066" s="114"/>
      <c r="C1066" s="114"/>
      <c r="D1066" s="114"/>
      <c r="E1066" s="114"/>
      <c r="F1066" s="114"/>
      <c r="G1066" s="121"/>
      <c r="H1066" s="42"/>
      <c r="I1066" s="114"/>
      <c r="J1066" s="114"/>
      <c r="K1066" s="114"/>
      <c r="L1066" s="114"/>
      <c r="M1066" s="114"/>
      <c r="N1066" s="114"/>
      <c r="O1066" s="114"/>
      <c r="P1066" s="114"/>
      <c r="Q1066" s="114"/>
      <c r="R1066" s="114"/>
      <c r="S1066" s="114"/>
      <c r="T1066" s="114"/>
      <c r="U1066" s="114"/>
      <c r="V1066" s="114"/>
      <c r="W1066" s="114"/>
      <c r="X1066" s="114"/>
      <c r="Y1066" s="114"/>
      <c r="Z1066" s="114"/>
      <c r="AA1066" s="114"/>
      <c r="AB1066" s="114"/>
      <c r="AC1066" s="114"/>
      <c r="AD1066" s="114"/>
      <c r="AE1066" s="114"/>
      <c r="AF1066" s="114"/>
      <c r="AG1066" s="114"/>
    </row>
    <row r="1067">
      <c r="A1067" s="114"/>
      <c r="B1067" s="114"/>
      <c r="C1067" s="114"/>
      <c r="D1067" s="114"/>
      <c r="E1067" s="114"/>
      <c r="F1067" s="114"/>
      <c r="G1067" s="121"/>
      <c r="H1067" s="42"/>
      <c r="I1067" s="114"/>
      <c r="J1067" s="114"/>
      <c r="K1067" s="114"/>
      <c r="L1067" s="114"/>
      <c r="M1067" s="114"/>
      <c r="N1067" s="114"/>
      <c r="O1067" s="114"/>
      <c r="P1067" s="114"/>
      <c r="Q1067" s="114"/>
      <c r="R1067" s="114"/>
      <c r="S1067" s="114"/>
      <c r="T1067" s="114"/>
      <c r="U1067" s="114"/>
      <c r="V1067" s="114"/>
      <c r="W1067" s="114"/>
      <c r="X1067" s="114"/>
      <c r="Y1067" s="114"/>
      <c r="Z1067" s="114"/>
      <c r="AA1067" s="114"/>
      <c r="AB1067" s="114"/>
      <c r="AC1067" s="114"/>
      <c r="AD1067" s="114"/>
      <c r="AE1067" s="114"/>
      <c r="AF1067" s="114"/>
      <c r="AG1067" s="114"/>
    </row>
    <row r="1068">
      <c r="A1068" s="114"/>
      <c r="B1068" s="114"/>
      <c r="C1068" s="114"/>
      <c r="D1068" s="114"/>
      <c r="E1068" s="114"/>
      <c r="F1068" s="114"/>
      <c r="G1068" s="121"/>
      <c r="H1068" s="42"/>
      <c r="I1068" s="114"/>
      <c r="J1068" s="114"/>
      <c r="K1068" s="114"/>
      <c r="L1068" s="114"/>
      <c r="M1068" s="114"/>
      <c r="N1068" s="114"/>
      <c r="O1068" s="114"/>
      <c r="P1068" s="114"/>
      <c r="Q1068" s="114"/>
      <c r="R1068" s="114"/>
      <c r="S1068" s="114"/>
      <c r="T1068" s="114"/>
      <c r="U1068" s="114"/>
      <c r="V1068" s="114"/>
      <c r="W1068" s="114"/>
      <c r="X1068" s="114"/>
      <c r="Y1068" s="114"/>
      <c r="Z1068" s="114"/>
      <c r="AA1068" s="114"/>
      <c r="AB1068" s="114"/>
      <c r="AC1068" s="114"/>
      <c r="AD1068" s="114"/>
      <c r="AE1068" s="114"/>
      <c r="AF1068" s="114"/>
      <c r="AG1068" s="114"/>
    </row>
    <row r="1069">
      <c r="A1069" s="114"/>
      <c r="B1069" s="114"/>
      <c r="C1069" s="114"/>
      <c r="D1069" s="114"/>
      <c r="E1069" s="114"/>
      <c r="F1069" s="114"/>
      <c r="G1069" s="121"/>
      <c r="H1069" s="42"/>
      <c r="I1069" s="114"/>
      <c r="J1069" s="114"/>
      <c r="K1069" s="114"/>
      <c r="L1069" s="114"/>
      <c r="M1069" s="114"/>
      <c r="N1069" s="114"/>
      <c r="O1069" s="114"/>
      <c r="P1069" s="114"/>
      <c r="Q1069" s="114"/>
      <c r="R1069" s="114"/>
      <c r="S1069" s="114"/>
      <c r="T1069" s="114"/>
      <c r="U1069" s="114"/>
      <c r="V1069" s="114"/>
      <c r="W1069" s="114"/>
      <c r="X1069" s="114"/>
      <c r="Y1069" s="114"/>
      <c r="Z1069" s="114"/>
      <c r="AA1069" s="114"/>
      <c r="AB1069" s="114"/>
      <c r="AC1069" s="114"/>
      <c r="AD1069" s="114"/>
      <c r="AE1069" s="114"/>
      <c r="AF1069" s="114"/>
      <c r="AG1069" s="114"/>
    </row>
    <row r="1070">
      <c r="A1070" s="114"/>
      <c r="B1070" s="114"/>
      <c r="C1070" s="114"/>
      <c r="D1070" s="114"/>
      <c r="E1070" s="114"/>
      <c r="F1070" s="114"/>
      <c r="G1070" s="121"/>
      <c r="H1070" s="42"/>
      <c r="I1070" s="114"/>
      <c r="J1070" s="114"/>
      <c r="K1070" s="114"/>
      <c r="L1070" s="114"/>
      <c r="M1070" s="114"/>
      <c r="N1070" s="114"/>
      <c r="O1070" s="114"/>
      <c r="P1070" s="114"/>
      <c r="Q1070" s="114"/>
      <c r="R1070" s="114"/>
      <c r="S1070" s="114"/>
      <c r="T1070" s="114"/>
      <c r="U1070" s="114"/>
      <c r="V1070" s="114"/>
      <c r="W1070" s="114"/>
      <c r="X1070" s="114"/>
      <c r="Y1070" s="114"/>
      <c r="Z1070" s="114"/>
      <c r="AA1070" s="114"/>
      <c r="AB1070" s="114"/>
      <c r="AC1070" s="114"/>
      <c r="AD1070" s="114"/>
      <c r="AE1070" s="114"/>
      <c r="AF1070" s="114"/>
      <c r="AG1070" s="114"/>
    </row>
  </sheetData>
  <mergeCells count="8">
    <mergeCell ref="B4:D4"/>
    <mergeCell ref="G4:H4"/>
    <mergeCell ref="K4:L4"/>
    <mergeCell ref="O4:P4"/>
    <mergeCell ref="S4:T4"/>
    <mergeCell ref="W4:X4"/>
    <mergeCell ref="AA4:AB4"/>
    <mergeCell ref="AE4:AF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4" max="4" width="17.5"/>
    <col customWidth="1" min="5" max="5" width="4.5"/>
    <col customWidth="1" min="6" max="6" width="4.88"/>
    <col customWidth="1" min="8" max="8" width="13.38"/>
    <col customWidth="1" min="9" max="9" width="3.88"/>
    <col customWidth="1" min="10" max="10" width="4.5"/>
    <col customWidth="1" min="13" max="13" width="4.13"/>
    <col customWidth="1" min="14" max="14" width="4.0"/>
    <col customWidth="1" min="15" max="15" width="12.63"/>
    <col customWidth="1" min="17" max="18" width="3.13"/>
    <col customWidth="1" min="19" max="20" width="12.63"/>
    <col customWidth="1" min="21" max="21" width="3.5"/>
    <col customWidth="1" min="22" max="22" width="3.13"/>
    <col customWidth="1" min="23" max="24" width="12.63"/>
    <col customWidth="1" min="25" max="25" width="3.5"/>
    <col customWidth="1" min="26" max="26" width="3.13"/>
    <col customWidth="1" min="27" max="28" width="12.63"/>
    <col customWidth="1" min="29" max="29" width="3.5"/>
    <col customWidth="1" min="30" max="30" width="3.13"/>
    <col customWidth="1" min="31" max="32" width="12.63"/>
    <col customWidth="1" min="33" max="33" width="3.5"/>
    <col customWidth="1" min="34" max="34" width="3.13"/>
    <col customWidth="1" min="35" max="36" width="12.63"/>
    <col customWidth="1" min="37" max="37" width="3.5"/>
    <col customWidth="1" min="38" max="38" width="3.13"/>
    <col customWidth="1" min="39" max="40" width="12.63"/>
    <col customWidth="1" min="41" max="41" width="3.5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</row>
    <row r="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</row>
    <row r="4">
      <c r="A4" s="117"/>
      <c r="B4" s="119" t="s">
        <v>151</v>
      </c>
      <c r="E4" s="117"/>
      <c r="F4" s="117"/>
      <c r="G4" s="120" t="s">
        <v>152</v>
      </c>
      <c r="I4" s="117"/>
      <c r="J4" s="117"/>
      <c r="K4" s="120" t="s">
        <v>153</v>
      </c>
      <c r="M4" s="117"/>
      <c r="N4" s="117"/>
      <c r="O4" s="120" t="s">
        <v>154</v>
      </c>
      <c r="Q4" s="120"/>
      <c r="R4" s="120"/>
      <c r="S4" s="120" t="s">
        <v>155</v>
      </c>
      <c r="U4" s="120"/>
      <c r="V4" s="120"/>
      <c r="W4" s="120" t="s">
        <v>156</v>
      </c>
      <c r="Y4" s="120"/>
      <c r="Z4" s="120"/>
      <c r="AA4" s="120" t="s">
        <v>157</v>
      </c>
      <c r="AC4" s="120"/>
      <c r="AD4" s="120"/>
      <c r="AE4" s="120" t="s">
        <v>158</v>
      </c>
      <c r="AG4" s="120"/>
      <c r="AH4" s="120"/>
      <c r="AI4" s="120" t="s">
        <v>159</v>
      </c>
      <c r="AK4" s="120"/>
      <c r="AL4" s="120"/>
      <c r="AM4" s="120" t="s">
        <v>160</v>
      </c>
      <c r="AO4" s="120"/>
    </row>
    <row r="5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</row>
    <row r="6">
      <c r="A6" s="114"/>
      <c r="B6" s="114"/>
      <c r="C6" s="114"/>
      <c r="D6" s="114"/>
      <c r="E6" s="114"/>
      <c r="F6" s="114"/>
      <c r="G6" s="121" t="s">
        <v>63</v>
      </c>
      <c r="H6" s="121">
        <v>1000000.0</v>
      </c>
      <c r="I6" s="114"/>
      <c r="J6" s="114"/>
      <c r="K6" s="121" t="s">
        <v>63</v>
      </c>
      <c r="L6" s="121">
        <v>2000000.0</v>
      </c>
      <c r="M6" s="114"/>
      <c r="N6" s="114"/>
      <c r="O6" s="121" t="s">
        <v>63</v>
      </c>
      <c r="P6" s="121">
        <v>3000000.0</v>
      </c>
      <c r="Q6" s="121"/>
      <c r="R6" s="121"/>
      <c r="S6" s="121" t="s">
        <v>63</v>
      </c>
      <c r="T6" s="121">
        <v>4.0E7</v>
      </c>
      <c r="U6" s="121"/>
      <c r="V6" s="121"/>
      <c r="W6" s="121" t="s">
        <v>63</v>
      </c>
      <c r="X6" s="121">
        <v>5.0E7</v>
      </c>
      <c r="Y6" s="121"/>
      <c r="Z6" s="121"/>
      <c r="AA6" s="121" t="s">
        <v>63</v>
      </c>
      <c r="AB6" s="121">
        <v>6.0E8</v>
      </c>
      <c r="AC6" s="121"/>
      <c r="AD6" s="121"/>
      <c r="AE6" s="121" t="s">
        <v>63</v>
      </c>
      <c r="AF6" s="121">
        <v>7.0E8</v>
      </c>
      <c r="AG6" s="121"/>
      <c r="AH6" s="121"/>
      <c r="AI6" s="121" t="s">
        <v>63</v>
      </c>
      <c r="AJ6" s="121">
        <v>1.0</v>
      </c>
      <c r="AK6" s="121"/>
      <c r="AL6" s="121"/>
      <c r="AM6" s="121" t="s">
        <v>63</v>
      </c>
      <c r="AN6" s="121">
        <v>1.0</v>
      </c>
      <c r="AO6" s="121"/>
    </row>
    <row r="7">
      <c r="A7" s="114"/>
      <c r="B7" s="114"/>
      <c r="C7" s="114"/>
      <c r="D7" s="114"/>
      <c r="E7" s="114"/>
      <c r="F7" s="114"/>
      <c r="G7" s="121" t="s">
        <v>64</v>
      </c>
      <c r="H7" s="121">
        <v>3.0</v>
      </c>
      <c r="I7" s="114"/>
      <c r="J7" s="114"/>
      <c r="K7" s="121" t="s">
        <v>64</v>
      </c>
      <c r="L7" s="121">
        <v>4.0</v>
      </c>
      <c r="M7" s="114"/>
      <c r="N7" s="114"/>
      <c r="O7" s="121" t="s">
        <v>64</v>
      </c>
      <c r="P7" s="121">
        <v>5.0</v>
      </c>
      <c r="Q7" s="121"/>
      <c r="R7" s="121"/>
      <c r="S7" s="121" t="s">
        <v>64</v>
      </c>
      <c r="T7" s="121">
        <v>6.0</v>
      </c>
      <c r="U7" s="121"/>
      <c r="V7" s="121"/>
      <c r="W7" s="121" t="s">
        <v>64</v>
      </c>
      <c r="X7" s="121">
        <v>7.0</v>
      </c>
      <c r="Y7" s="121"/>
      <c r="Z7" s="121"/>
      <c r="AA7" s="121" t="s">
        <v>64</v>
      </c>
      <c r="AB7" s="121">
        <v>8.0</v>
      </c>
      <c r="AC7" s="121"/>
      <c r="AD7" s="121"/>
      <c r="AE7" s="121" t="s">
        <v>64</v>
      </c>
      <c r="AF7" s="121">
        <v>9.0</v>
      </c>
      <c r="AG7" s="121"/>
      <c r="AH7" s="121"/>
      <c r="AI7" s="121" t="s">
        <v>64</v>
      </c>
      <c r="AJ7" s="121">
        <v>10.0</v>
      </c>
      <c r="AK7" s="121"/>
      <c r="AL7" s="121"/>
      <c r="AM7" s="121" t="s">
        <v>64</v>
      </c>
      <c r="AN7" s="121">
        <v>10.0</v>
      </c>
      <c r="AO7" s="121"/>
    </row>
    <row r="8">
      <c r="A8" s="114"/>
      <c r="B8" s="121" t="s">
        <v>65</v>
      </c>
      <c r="C8" s="121" t="s">
        <v>66</v>
      </c>
      <c r="D8" s="121" t="s">
        <v>67</v>
      </c>
      <c r="E8" s="114"/>
      <c r="F8" s="114"/>
      <c r="G8" s="121" t="s">
        <v>65</v>
      </c>
      <c r="H8" s="121" t="s">
        <v>66</v>
      </c>
      <c r="I8" s="114"/>
      <c r="J8" s="114"/>
      <c r="K8" s="121" t="s">
        <v>65</v>
      </c>
      <c r="L8" s="121" t="s">
        <v>66</v>
      </c>
      <c r="M8" s="114"/>
      <c r="N8" s="114"/>
      <c r="O8" s="121" t="s">
        <v>65</v>
      </c>
      <c r="P8" s="121" t="s">
        <v>66</v>
      </c>
      <c r="Q8" s="114"/>
      <c r="R8" s="114"/>
      <c r="S8" s="121" t="s">
        <v>65</v>
      </c>
      <c r="T8" s="121" t="s">
        <v>66</v>
      </c>
      <c r="U8" s="114"/>
      <c r="V8" s="114"/>
      <c r="W8" s="121" t="s">
        <v>65</v>
      </c>
      <c r="X8" s="121" t="s">
        <v>66</v>
      </c>
      <c r="Y8" s="114"/>
      <c r="Z8" s="114"/>
      <c r="AA8" s="121" t="s">
        <v>65</v>
      </c>
      <c r="AB8" s="121" t="s">
        <v>66</v>
      </c>
      <c r="AC8" s="114"/>
      <c r="AD8" s="114"/>
      <c r="AE8" s="121" t="s">
        <v>65</v>
      </c>
      <c r="AF8" s="121" t="s">
        <v>66</v>
      </c>
      <c r="AG8" s="114"/>
      <c r="AH8" s="114"/>
      <c r="AI8" s="121" t="s">
        <v>65</v>
      </c>
      <c r="AJ8" s="121" t="s">
        <v>66</v>
      </c>
      <c r="AK8" s="114"/>
      <c r="AL8" s="114"/>
      <c r="AM8" s="121" t="s">
        <v>65</v>
      </c>
      <c r="AN8" s="121" t="s">
        <v>66</v>
      </c>
      <c r="AO8" s="121"/>
    </row>
    <row r="9">
      <c r="A9" s="114"/>
      <c r="B9" s="145">
        <v>0.0</v>
      </c>
      <c r="C9" s="145">
        <v>1.5E8</v>
      </c>
      <c r="D9" s="145" t="s">
        <v>161</v>
      </c>
      <c r="E9" s="114"/>
      <c r="F9" s="114"/>
      <c r="G9" s="121">
        <v>0.0</v>
      </c>
      <c r="H9" s="42">
        <f t="shared" ref="H9:H58" si="1">H$6*(H$7^G9)</f>
        <v>1000000</v>
      </c>
      <c r="I9" s="114"/>
      <c r="J9" s="114"/>
      <c r="K9" s="121">
        <v>0.0</v>
      </c>
      <c r="L9" s="42">
        <f t="shared" ref="L9:L58" si="2">L$6*(L$7^K9)</f>
        <v>2000000</v>
      </c>
      <c r="M9" s="114"/>
      <c r="N9" s="114"/>
      <c r="O9" s="121">
        <v>0.0</v>
      </c>
      <c r="P9" s="42">
        <f t="shared" ref="P9:P58" si="3">P$6*(P$7^O9)</f>
        <v>3000000</v>
      </c>
      <c r="Q9" s="114"/>
      <c r="R9" s="114"/>
      <c r="S9" s="121">
        <v>0.0</v>
      </c>
      <c r="T9" s="42">
        <f t="shared" ref="T9:T58" si="4">T$6*(T$7^S9)</f>
        <v>40000000</v>
      </c>
      <c r="U9" s="114"/>
      <c r="V9" s="114"/>
      <c r="W9" s="121">
        <v>0.0</v>
      </c>
      <c r="X9" s="42">
        <f t="shared" ref="X9:X58" si="5">X$6*(X$7^W9)</f>
        <v>50000000</v>
      </c>
      <c r="Y9" s="114"/>
      <c r="Z9" s="114"/>
      <c r="AA9" s="121">
        <v>0.0</v>
      </c>
      <c r="AB9" s="42">
        <f t="shared" ref="AB9:AB58" si="6">AB$6*(AB$7^AA9)</f>
        <v>600000000</v>
      </c>
      <c r="AC9" s="114"/>
      <c r="AD9" s="114"/>
      <c r="AE9" s="121">
        <v>0.0</v>
      </c>
      <c r="AF9" s="42">
        <f t="shared" ref="AF9:AF58" si="7">AF$6*(AF$7^AE9)</f>
        <v>700000000</v>
      </c>
      <c r="AG9" s="114"/>
      <c r="AH9" s="114"/>
      <c r="AI9" s="121">
        <v>0.0</v>
      </c>
      <c r="AJ9" s="42">
        <f t="shared" ref="AJ9:AJ58" si="8">AJ$6*(AJ$7^AI9)</f>
        <v>1</v>
      </c>
      <c r="AK9" s="114"/>
      <c r="AL9" s="114"/>
      <c r="AM9" s="121">
        <v>0.0</v>
      </c>
      <c r="AN9" s="42">
        <f t="shared" ref="AN9:AN58" si="9">AN$6*(AN$7^AM9)</f>
        <v>1</v>
      </c>
      <c r="AO9" s="42"/>
    </row>
    <row r="10">
      <c r="A10" s="114"/>
      <c r="E10" s="114"/>
      <c r="F10" s="114"/>
      <c r="G10" s="121">
        <v>1.0</v>
      </c>
      <c r="H10" s="42">
        <f t="shared" si="1"/>
        <v>3000000</v>
      </c>
      <c r="I10" s="114"/>
      <c r="J10" s="114"/>
      <c r="K10" s="121">
        <v>1.0</v>
      </c>
      <c r="L10" s="42">
        <f t="shared" si="2"/>
        <v>8000000</v>
      </c>
      <c r="M10" s="114"/>
      <c r="N10" s="114"/>
      <c r="O10" s="121">
        <v>1.0</v>
      </c>
      <c r="P10" s="42">
        <f t="shared" si="3"/>
        <v>15000000</v>
      </c>
      <c r="Q10" s="114"/>
      <c r="R10" s="114"/>
      <c r="S10" s="121">
        <v>1.0</v>
      </c>
      <c r="T10" s="42">
        <f t="shared" si="4"/>
        <v>240000000</v>
      </c>
      <c r="U10" s="114"/>
      <c r="V10" s="114"/>
      <c r="W10" s="121">
        <v>1.0</v>
      </c>
      <c r="X10" s="42">
        <f t="shared" si="5"/>
        <v>350000000</v>
      </c>
      <c r="Y10" s="114"/>
      <c r="Z10" s="114"/>
      <c r="AA10" s="121">
        <v>1.0</v>
      </c>
      <c r="AB10" s="42">
        <f t="shared" si="6"/>
        <v>4800000000</v>
      </c>
      <c r="AC10" s="114"/>
      <c r="AD10" s="114"/>
      <c r="AE10" s="121">
        <v>1.0</v>
      </c>
      <c r="AF10" s="42">
        <f t="shared" si="7"/>
        <v>6300000000</v>
      </c>
      <c r="AG10" s="114"/>
      <c r="AH10" s="114"/>
      <c r="AI10" s="121">
        <v>1.0</v>
      </c>
      <c r="AJ10" s="42">
        <f t="shared" si="8"/>
        <v>10</v>
      </c>
      <c r="AK10" s="114"/>
      <c r="AL10" s="114"/>
      <c r="AM10" s="121">
        <v>1.0</v>
      </c>
      <c r="AN10" s="42">
        <f t="shared" si="9"/>
        <v>10</v>
      </c>
      <c r="AO10" s="42"/>
    </row>
    <row r="11">
      <c r="A11" s="114"/>
      <c r="E11" s="114"/>
      <c r="F11" s="114"/>
      <c r="G11" s="121">
        <v>2.0</v>
      </c>
      <c r="H11" s="42">
        <f t="shared" si="1"/>
        <v>9000000</v>
      </c>
      <c r="I11" s="114"/>
      <c r="J11" s="114"/>
      <c r="K11" s="121">
        <v>2.0</v>
      </c>
      <c r="L11" s="42">
        <f t="shared" si="2"/>
        <v>32000000</v>
      </c>
      <c r="M11" s="114"/>
      <c r="N11" s="114"/>
      <c r="O11" s="121">
        <v>2.0</v>
      </c>
      <c r="P11" s="42">
        <f t="shared" si="3"/>
        <v>75000000</v>
      </c>
      <c r="Q11" s="114"/>
      <c r="R11" s="114"/>
      <c r="S11" s="121">
        <v>2.0</v>
      </c>
      <c r="T11" s="42">
        <f t="shared" si="4"/>
        <v>1440000000</v>
      </c>
      <c r="U11" s="114"/>
      <c r="V11" s="114"/>
      <c r="W11" s="121">
        <v>2.0</v>
      </c>
      <c r="X11" s="42">
        <f t="shared" si="5"/>
        <v>2450000000</v>
      </c>
      <c r="Y11" s="114"/>
      <c r="Z11" s="114"/>
      <c r="AA11" s="121">
        <v>2.0</v>
      </c>
      <c r="AB11" s="42">
        <f t="shared" si="6"/>
        <v>38400000000</v>
      </c>
      <c r="AC11" s="114"/>
      <c r="AD11" s="114"/>
      <c r="AE11" s="121">
        <v>2.0</v>
      </c>
      <c r="AF11" s="42">
        <f t="shared" si="7"/>
        <v>56700000000</v>
      </c>
      <c r="AG11" s="114"/>
      <c r="AH11" s="114"/>
      <c r="AI11" s="121">
        <v>2.0</v>
      </c>
      <c r="AJ11" s="42">
        <f t="shared" si="8"/>
        <v>100</v>
      </c>
      <c r="AK11" s="114"/>
      <c r="AL11" s="114"/>
      <c r="AM11" s="121">
        <v>2.0</v>
      </c>
      <c r="AN11" s="42">
        <f t="shared" si="9"/>
        <v>100</v>
      </c>
      <c r="AO11" s="42"/>
    </row>
    <row r="12">
      <c r="A12" s="114"/>
      <c r="B12" s="114"/>
      <c r="C12" s="114"/>
      <c r="D12" s="114"/>
      <c r="E12" s="114"/>
      <c r="F12" s="114"/>
      <c r="G12" s="121">
        <v>3.0</v>
      </c>
      <c r="H12" s="42">
        <f t="shared" si="1"/>
        <v>27000000</v>
      </c>
      <c r="I12" s="114"/>
      <c r="J12" s="114"/>
      <c r="K12" s="121">
        <v>3.0</v>
      </c>
      <c r="L12" s="42">
        <f t="shared" si="2"/>
        <v>128000000</v>
      </c>
      <c r="M12" s="114"/>
      <c r="N12" s="114"/>
      <c r="O12" s="121">
        <v>3.0</v>
      </c>
      <c r="P12" s="42">
        <f t="shared" si="3"/>
        <v>375000000</v>
      </c>
      <c r="Q12" s="114"/>
      <c r="R12" s="114"/>
      <c r="S12" s="121">
        <v>3.0</v>
      </c>
      <c r="T12" s="42">
        <f t="shared" si="4"/>
        <v>8640000000</v>
      </c>
      <c r="U12" s="114"/>
      <c r="V12" s="114"/>
      <c r="W12" s="121">
        <v>3.0</v>
      </c>
      <c r="X12" s="42">
        <f t="shared" si="5"/>
        <v>17150000000</v>
      </c>
      <c r="Y12" s="114"/>
      <c r="Z12" s="114"/>
      <c r="AA12" s="121">
        <v>3.0</v>
      </c>
      <c r="AB12" s="42">
        <f t="shared" si="6"/>
        <v>307200000000</v>
      </c>
      <c r="AC12" s="114"/>
      <c r="AD12" s="114"/>
      <c r="AE12" s="121">
        <v>3.0</v>
      </c>
      <c r="AF12" s="42">
        <f t="shared" si="7"/>
        <v>510300000000</v>
      </c>
      <c r="AG12" s="114"/>
      <c r="AH12" s="114"/>
      <c r="AI12" s="121">
        <v>3.0</v>
      </c>
      <c r="AJ12" s="42">
        <f t="shared" si="8"/>
        <v>1000</v>
      </c>
      <c r="AK12" s="114"/>
      <c r="AL12" s="114"/>
      <c r="AM12" s="121">
        <v>3.0</v>
      </c>
      <c r="AN12" s="42">
        <f t="shared" si="9"/>
        <v>1000</v>
      </c>
      <c r="AO12" s="42"/>
    </row>
    <row r="13">
      <c r="A13" s="114"/>
      <c r="B13" s="114"/>
      <c r="C13" s="114"/>
      <c r="D13" s="114"/>
      <c r="E13" s="114"/>
      <c r="F13" s="114"/>
      <c r="G13" s="121">
        <v>4.0</v>
      </c>
      <c r="H13" s="42">
        <f t="shared" si="1"/>
        <v>81000000</v>
      </c>
      <c r="I13" s="114"/>
      <c r="J13" s="114"/>
      <c r="K13" s="121">
        <v>4.0</v>
      </c>
      <c r="L13" s="42">
        <f t="shared" si="2"/>
        <v>512000000</v>
      </c>
      <c r="M13" s="114"/>
      <c r="N13" s="114"/>
      <c r="O13" s="121">
        <v>4.0</v>
      </c>
      <c r="P13" s="42">
        <f t="shared" si="3"/>
        <v>1875000000</v>
      </c>
      <c r="Q13" s="114"/>
      <c r="R13" s="114"/>
      <c r="S13" s="121">
        <v>4.0</v>
      </c>
      <c r="T13" s="42">
        <f t="shared" si="4"/>
        <v>51840000000</v>
      </c>
      <c r="U13" s="114"/>
      <c r="V13" s="114"/>
      <c r="W13" s="121">
        <v>4.0</v>
      </c>
      <c r="X13" s="42">
        <f t="shared" si="5"/>
        <v>120050000000</v>
      </c>
      <c r="Y13" s="114"/>
      <c r="Z13" s="114"/>
      <c r="AA13" s="121">
        <v>4.0</v>
      </c>
      <c r="AB13" s="42">
        <f t="shared" si="6"/>
        <v>2457600000000</v>
      </c>
      <c r="AC13" s="114"/>
      <c r="AD13" s="114"/>
      <c r="AE13" s="121">
        <v>4.0</v>
      </c>
      <c r="AF13" s="42">
        <f t="shared" si="7"/>
        <v>4592700000000</v>
      </c>
      <c r="AG13" s="114"/>
      <c r="AH13" s="114"/>
      <c r="AI13" s="121">
        <v>4.0</v>
      </c>
      <c r="AJ13" s="42">
        <f t="shared" si="8"/>
        <v>10000</v>
      </c>
      <c r="AK13" s="114"/>
      <c r="AL13" s="114"/>
      <c r="AM13" s="121">
        <v>4.0</v>
      </c>
      <c r="AN13" s="42">
        <f t="shared" si="9"/>
        <v>10000</v>
      </c>
      <c r="AO13" s="42"/>
    </row>
    <row r="14">
      <c r="A14" s="114"/>
      <c r="B14" s="114"/>
      <c r="C14" s="114"/>
      <c r="D14" s="114"/>
      <c r="E14" s="114"/>
      <c r="F14" s="114"/>
      <c r="G14" s="121">
        <v>5.0</v>
      </c>
      <c r="H14" s="42">
        <f t="shared" si="1"/>
        <v>243000000</v>
      </c>
      <c r="I14" s="114"/>
      <c r="J14" s="114"/>
      <c r="K14" s="121">
        <v>5.0</v>
      </c>
      <c r="L14" s="42">
        <f t="shared" si="2"/>
        <v>2048000000</v>
      </c>
      <c r="M14" s="114"/>
      <c r="N14" s="114"/>
      <c r="O14" s="121">
        <v>5.0</v>
      </c>
      <c r="P14" s="42">
        <f t="shared" si="3"/>
        <v>9375000000</v>
      </c>
      <c r="Q14" s="114"/>
      <c r="R14" s="114"/>
      <c r="S14" s="121">
        <v>5.0</v>
      </c>
      <c r="T14" s="42">
        <f t="shared" si="4"/>
        <v>311040000000</v>
      </c>
      <c r="U14" s="114"/>
      <c r="V14" s="114"/>
      <c r="W14" s="121">
        <v>5.0</v>
      </c>
      <c r="X14" s="42">
        <f t="shared" si="5"/>
        <v>840350000000</v>
      </c>
      <c r="Y14" s="114"/>
      <c r="Z14" s="114"/>
      <c r="AA14" s="121">
        <v>5.0</v>
      </c>
      <c r="AB14" s="42">
        <f t="shared" si="6"/>
        <v>19660800000000</v>
      </c>
      <c r="AC14" s="114"/>
      <c r="AD14" s="114"/>
      <c r="AE14" s="121">
        <v>5.0</v>
      </c>
      <c r="AF14" s="42">
        <f t="shared" si="7"/>
        <v>41334300000000</v>
      </c>
      <c r="AG14" s="114"/>
      <c r="AH14" s="114"/>
      <c r="AI14" s="121">
        <v>5.0</v>
      </c>
      <c r="AJ14" s="42">
        <f t="shared" si="8"/>
        <v>100000</v>
      </c>
      <c r="AK14" s="114"/>
      <c r="AL14" s="114"/>
      <c r="AM14" s="121">
        <v>5.0</v>
      </c>
      <c r="AN14" s="42">
        <f t="shared" si="9"/>
        <v>100000</v>
      </c>
      <c r="AO14" s="114"/>
    </row>
    <row r="15">
      <c r="A15" s="114"/>
      <c r="B15" s="114"/>
      <c r="C15" s="114"/>
      <c r="D15" s="114"/>
      <c r="E15" s="114"/>
      <c r="F15" s="114"/>
      <c r="G15" s="121">
        <v>6.0</v>
      </c>
      <c r="H15" s="42">
        <f t="shared" si="1"/>
        <v>729000000</v>
      </c>
      <c r="I15" s="114"/>
      <c r="J15" s="114"/>
      <c r="K15" s="121">
        <v>6.0</v>
      </c>
      <c r="L15" s="42">
        <f t="shared" si="2"/>
        <v>8192000000</v>
      </c>
      <c r="M15" s="114"/>
      <c r="N15" s="114"/>
      <c r="O15" s="121">
        <v>6.0</v>
      </c>
      <c r="P15" s="42">
        <f t="shared" si="3"/>
        <v>46875000000</v>
      </c>
      <c r="Q15" s="114"/>
      <c r="R15" s="114"/>
      <c r="S15" s="121">
        <v>6.0</v>
      </c>
      <c r="T15" s="42">
        <f t="shared" si="4"/>
        <v>1866240000000</v>
      </c>
      <c r="U15" s="114"/>
      <c r="V15" s="114"/>
      <c r="W15" s="121">
        <v>6.0</v>
      </c>
      <c r="X15" s="42">
        <f t="shared" si="5"/>
        <v>5882450000000</v>
      </c>
      <c r="Y15" s="114"/>
      <c r="Z15" s="114"/>
      <c r="AA15" s="121">
        <v>6.0</v>
      </c>
      <c r="AB15" s="42">
        <f t="shared" si="6"/>
        <v>157286400000000</v>
      </c>
      <c r="AC15" s="114"/>
      <c r="AD15" s="114"/>
      <c r="AE15" s="121">
        <v>6.0</v>
      </c>
      <c r="AF15" s="42">
        <f t="shared" si="7"/>
        <v>372008700000000</v>
      </c>
      <c r="AG15" s="114"/>
      <c r="AH15" s="114"/>
      <c r="AI15" s="121">
        <v>6.0</v>
      </c>
      <c r="AJ15" s="42">
        <f t="shared" si="8"/>
        <v>1000000</v>
      </c>
      <c r="AK15" s="114"/>
      <c r="AL15" s="114"/>
      <c r="AM15" s="121">
        <v>6.0</v>
      </c>
      <c r="AN15" s="42">
        <f t="shared" si="9"/>
        <v>1000000</v>
      </c>
      <c r="AO15" s="114"/>
    </row>
    <row r="16">
      <c r="A16" s="114"/>
      <c r="B16" s="114"/>
      <c r="C16" s="114"/>
      <c r="D16" s="114"/>
      <c r="E16" s="114"/>
      <c r="F16" s="114"/>
      <c r="G16" s="121">
        <v>7.0</v>
      </c>
      <c r="H16" s="42">
        <f t="shared" si="1"/>
        <v>2187000000</v>
      </c>
      <c r="I16" s="114"/>
      <c r="J16" s="114"/>
      <c r="K16" s="121">
        <v>7.0</v>
      </c>
      <c r="L16" s="42">
        <f t="shared" si="2"/>
        <v>32768000000</v>
      </c>
      <c r="M16" s="114"/>
      <c r="N16" s="114"/>
      <c r="O16" s="121">
        <v>7.0</v>
      </c>
      <c r="P16" s="42">
        <f t="shared" si="3"/>
        <v>234375000000</v>
      </c>
      <c r="Q16" s="114"/>
      <c r="R16" s="114"/>
      <c r="S16" s="121">
        <v>7.0</v>
      </c>
      <c r="T16" s="42">
        <f t="shared" si="4"/>
        <v>11197440000000</v>
      </c>
      <c r="U16" s="114"/>
      <c r="V16" s="114"/>
      <c r="W16" s="121">
        <v>7.0</v>
      </c>
      <c r="X16" s="42">
        <f t="shared" si="5"/>
        <v>41177150000000</v>
      </c>
      <c r="Y16" s="114"/>
      <c r="Z16" s="114"/>
      <c r="AA16" s="121">
        <v>7.0</v>
      </c>
      <c r="AB16" s="42">
        <f t="shared" si="6"/>
        <v>1.25829E+15</v>
      </c>
      <c r="AC16" s="114"/>
      <c r="AD16" s="114"/>
      <c r="AE16" s="121">
        <v>7.0</v>
      </c>
      <c r="AF16" s="42">
        <f t="shared" si="7"/>
        <v>3.34808E+15</v>
      </c>
      <c r="AG16" s="114"/>
      <c r="AH16" s="114"/>
      <c r="AI16" s="121">
        <v>7.0</v>
      </c>
      <c r="AJ16" s="42">
        <f t="shared" si="8"/>
        <v>10000000</v>
      </c>
      <c r="AK16" s="114"/>
      <c r="AL16" s="114"/>
      <c r="AM16" s="121">
        <v>7.0</v>
      </c>
      <c r="AN16" s="42">
        <f t="shared" si="9"/>
        <v>10000000</v>
      </c>
      <c r="AO16" s="114"/>
    </row>
    <row r="17">
      <c r="A17" s="114"/>
      <c r="B17" s="114"/>
      <c r="C17" s="114"/>
      <c r="D17" s="114"/>
      <c r="E17" s="114"/>
      <c r="F17" s="114"/>
      <c r="G17" s="121">
        <v>8.0</v>
      </c>
      <c r="H17" s="42">
        <f t="shared" si="1"/>
        <v>6561000000</v>
      </c>
      <c r="I17" s="114"/>
      <c r="J17" s="114"/>
      <c r="K17" s="121">
        <v>8.0</v>
      </c>
      <c r="L17" s="42">
        <f t="shared" si="2"/>
        <v>131072000000</v>
      </c>
      <c r="M17" s="114"/>
      <c r="N17" s="114"/>
      <c r="O17" s="121">
        <v>8.0</v>
      </c>
      <c r="P17" s="42">
        <f t="shared" si="3"/>
        <v>1171875000000</v>
      </c>
      <c r="Q17" s="114"/>
      <c r="R17" s="114"/>
      <c r="S17" s="121">
        <v>8.0</v>
      </c>
      <c r="T17" s="42">
        <f t="shared" si="4"/>
        <v>67184640000000</v>
      </c>
      <c r="U17" s="114"/>
      <c r="V17" s="114"/>
      <c r="W17" s="121">
        <v>8.0</v>
      </c>
      <c r="X17" s="42">
        <f t="shared" si="5"/>
        <v>288240050000000</v>
      </c>
      <c r="Y17" s="114"/>
      <c r="Z17" s="114"/>
      <c r="AA17" s="121">
        <v>8.0</v>
      </c>
      <c r="AB17" s="42">
        <f t="shared" si="6"/>
        <v>1.00663E+16</v>
      </c>
      <c r="AC17" s="114"/>
      <c r="AD17" s="114"/>
      <c r="AE17" s="121">
        <v>8.0</v>
      </c>
      <c r="AF17" s="42">
        <f t="shared" si="7"/>
        <v>3.01327E+16</v>
      </c>
      <c r="AG17" s="114"/>
      <c r="AH17" s="114"/>
      <c r="AI17" s="121">
        <v>8.0</v>
      </c>
      <c r="AJ17" s="42">
        <f t="shared" si="8"/>
        <v>100000000</v>
      </c>
      <c r="AK17" s="114"/>
      <c r="AL17" s="114"/>
      <c r="AM17" s="121">
        <v>8.0</v>
      </c>
      <c r="AN17" s="42">
        <f t="shared" si="9"/>
        <v>100000000</v>
      </c>
      <c r="AO17" s="114"/>
    </row>
    <row r="18">
      <c r="A18" s="114"/>
      <c r="B18" s="114"/>
      <c r="C18" s="114"/>
      <c r="D18" s="114"/>
      <c r="E18" s="114"/>
      <c r="F18" s="114"/>
      <c r="G18" s="121">
        <v>9.0</v>
      </c>
      <c r="H18" s="42">
        <f t="shared" si="1"/>
        <v>19683000000</v>
      </c>
      <c r="I18" s="114"/>
      <c r="J18" s="114"/>
      <c r="K18" s="121">
        <v>9.0</v>
      </c>
      <c r="L18" s="42">
        <f t="shared" si="2"/>
        <v>524288000000</v>
      </c>
      <c r="M18" s="114"/>
      <c r="N18" s="114"/>
      <c r="O18" s="121">
        <v>9.0</v>
      </c>
      <c r="P18" s="42">
        <f t="shared" si="3"/>
        <v>5859375000000</v>
      </c>
      <c r="Q18" s="114"/>
      <c r="R18" s="114"/>
      <c r="S18" s="121">
        <v>9.0</v>
      </c>
      <c r="T18" s="42">
        <f t="shared" si="4"/>
        <v>403107840000000</v>
      </c>
      <c r="U18" s="114"/>
      <c r="V18" s="114"/>
      <c r="W18" s="121">
        <v>9.0</v>
      </c>
      <c r="X18" s="42">
        <f t="shared" si="5"/>
        <v>2.01768E+15</v>
      </c>
      <c r="Y18" s="114"/>
      <c r="Z18" s="114"/>
      <c r="AA18" s="121">
        <v>9.0</v>
      </c>
      <c r="AB18" s="42">
        <f t="shared" si="6"/>
        <v>8.05306E+16</v>
      </c>
      <c r="AC18" s="114"/>
      <c r="AD18" s="114"/>
      <c r="AE18" s="121">
        <v>9.0</v>
      </c>
      <c r="AF18" s="42">
        <f t="shared" si="7"/>
        <v>2.71194E+17</v>
      </c>
      <c r="AG18" s="114"/>
      <c r="AH18" s="114"/>
      <c r="AI18" s="121">
        <v>9.0</v>
      </c>
      <c r="AJ18" s="42">
        <f t="shared" si="8"/>
        <v>1000000000</v>
      </c>
      <c r="AK18" s="114"/>
      <c r="AL18" s="114"/>
      <c r="AM18" s="121">
        <v>9.0</v>
      </c>
      <c r="AN18" s="42">
        <f t="shared" si="9"/>
        <v>1000000000</v>
      </c>
      <c r="AO18" s="114"/>
    </row>
    <row r="19">
      <c r="A19" s="114"/>
      <c r="B19" s="114"/>
      <c r="C19" s="114"/>
      <c r="D19" s="114"/>
      <c r="E19" s="114"/>
      <c r="F19" s="114"/>
      <c r="G19" s="121">
        <v>10.0</v>
      </c>
      <c r="H19" s="42">
        <f t="shared" si="1"/>
        <v>59049000000</v>
      </c>
      <c r="I19" s="114"/>
      <c r="J19" s="114"/>
      <c r="K19" s="121">
        <v>10.0</v>
      </c>
      <c r="L19" s="42">
        <f t="shared" si="2"/>
        <v>2097152000000</v>
      </c>
      <c r="M19" s="114"/>
      <c r="N19" s="114"/>
      <c r="O19" s="121">
        <v>10.0</v>
      </c>
      <c r="P19" s="42">
        <f t="shared" si="3"/>
        <v>29296875000000</v>
      </c>
      <c r="Q19" s="114"/>
      <c r="R19" s="114"/>
      <c r="S19" s="121">
        <v>10.0</v>
      </c>
      <c r="T19" s="42">
        <f t="shared" si="4"/>
        <v>2.41865E+15</v>
      </c>
      <c r="U19" s="114"/>
      <c r="V19" s="114"/>
      <c r="W19" s="121">
        <v>10.0</v>
      </c>
      <c r="X19" s="42">
        <f t="shared" si="5"/>
        <v>1.41238E+16</v>
      </c>
      <c r="Y19" s="114"/>
      <c r="Z19" s="114"/>
      <c r="AA19" s="121">
        <v>10.0</v>
      </c>
      <c r="AB19" s="42">
        <f t="shared" si="6"/>
        <v>6.44245E+17</v>
      </c>
      <c r="AC19" s="114"/>
      <c r="AD19" s="114"/>
      <c r="AE19" s="121">
        <v>10.0</v>
      </c>
      <c r="AF19" s="42">
        <f t="shared" si="7"/>
        <v>2.44075E+18</v>
      </c>
      <c r="AG19" s="114"/>
      <c r="AH19" s="114"/>
      <c r="AI19" s="121">
        <v>10.0</v>
      </c>
      <c r="AJ19" s="42">
        <f t="shared" si="8"/>
        <v>10000000000</v>
      </c>
      <c r="AK19" s="114"/>
      <c r="AL19" s="114"/>
      <c r="AM19" s="121">
        <v>10.0</v>
      </c>
      <c r="AN19" s="42">
        <f t="shared" si="9"/>
        <v>10000000000</v>
      </c>
      <c r="AO19" s="114"/>
    </row>
    <row r="20">
      <c r="A20" s="114"/>
      <c r="B20" s="114"/>
      <c r="C20" s="114"/>
      <c r="D20" s="114"/>
      <c r="E20" s="114"/>
      <c r="F20" s="114"/>
      <c r="G20" s="121">
        <v>11.0</v>
      </c>
      <c r="H20" s="42">
        <f t="shared" si="1"/>
        <v>177147000000</v>
      </c>
      <c r="I20" s="114"/>
      <c r="J20" s="114"/>
      <c r="K20" s="121">
        <v>11.0</v>
      </c>
      <c r="L20" s="42">
        <f t="shared" si="2"/>
        <v>8388608000000</v>
      </c>
      <c r="M20" s="114"/>
      <c r="N20" s="114"/>
      <c r="O20" s="121">
        <v>11.0</v>
      </c>
      <c r="P20" s="42">
        <f t="shared" si="3"/>
        <v>146484375000000</v>
      </c>
      <c r="Q20" s="114"/>
      <c r="R20" s="114"/>
      <c r="S20" s="121">
        <v>11.0</v>
      </c>
      <c r="T20" s="42">
        <f t="shared" si="4"/>
        <v>1.45119E+16</v>
      </c>
      <c r="U20" s="114"/>
      <c r="V20" s="114"/>
      <c r="W20" s="121">
        <v>11.0</v>
      </c>
      <c r="X20" s="42">
        <f t="shared" si="5"/>
        <v>9.88663E+16</v>
      </c>
      <c r="Y20" s="114"/>
      <c r="Z20" s="114"/>
      <c r="AA20" s="121">
        <v>11.0</v>
      </c>
      <c r="AB20" s="42">
        <f t="shared" si="6"/>
        <v>5.15396E+18</v>
      </c>
      <c r="AC20" s="114"/>
      <c r="AD20" s="114"/>
      <c r="AE20" s="121">
        <v>11.0</v>
      </c>
      <c r="AF20" s="42">
        <f t="shared" si="7"/>
        <v>2.19667E+19</v>
      </c>
      <c r="AG20" s="114"/>
      <c r="AH20" s="114"/>
      <c r="AI20" s="121">
        <v>11.0</v>
      </c>
      <c r="AJ20" s="42">
        <f t="shared" si="8"/>
        <v>100000000000</v>
      </c>
      <c r="AK20" s="114"/>
      <c r="AL20" s="114"/>
      <c r="AM20" s="121">
        <v>11.0</v>
      </c>
      <c r="AN20" s="42">
        <f t="shared" si="9"/>
        <v>100000000000</v>
      </c>
      <c r="AO20" s="114"/>
    </row>
    <row r="21">
      <c r="A21" s="114"/>
      <c r="B21" s="114"/>
      <c r="C21" s="114"/>
      <c r="D21" s="114"/>
      <c r="E21" s="114"/>
      <c r="F21" s="114"/>
      <c r="G21" s="121">
        <v>12.0</v>
      </c>
      <c r="H21" s="42">
        <f t="shared" si="1"/>
        <v>531441000000</v>
      </c>
      <c r="I21" s="114"/>
      <c r="J21" s="114"/>
      <c r="K21" s="121">
        <v>12.0</v>
      </c>
      <c r="L21" s="42">
        <f t="shared" si="2"/>
        <v>33554432000000</v>
      </c>
      <c r="M21" s="114"/>
      <c r="N21" s="114"/>
      <c r="O21" s="121">
        <v>12.0</v>
      </c>
      <c r="P21" s="42">
        <f t="shared" si="3"/>
        <v>732421875000000</v>
      </c>
      <c r="Q21" s="114"/>
      <c r="R21" s="114"/>
      <c r="S21" s="121">
        <v>12.0</v>
      </c>
      <c r="T21" s="42">
        <f t="shared" si="4"/>
        <v>8.70713E+16</v>
      </c>
      <c r="U21" s="114"/>
      <c r="V21" s="114"/>
      <c r="W21" s="121">
        <v>12.0</v>
      </c>
      <c r="X21" s="42">
        <f t="shared" si="5"/>
        <v>6.92064E+17</v>
      </c>
      <c r="Y21" s="114"/>
      <c r="Z21" s="114"/>
      <c r="AA21" s="121">
        <v>12.0</v>
      </c>
      <c r="AB21" s="42">
        <f t="shared" si="6"/>
        <v>4.12317E+19</v>
      </c>
      <c r="AC21" s="114"/>
      <c r="AD21" s="114"/>
      <c r="AE21" s="121">
        <v>12.0</v>
      </c>
      <c r="AF21" s="42">
        <f t="shared" si="7"/>
        <v>1.97701E+20</v>
      </c>
      <c r="AG21" s="114"/>
      <c r="AH21" s="114"/>
      <c r="AI21" s="121">
        <v>12.0</v>
      </c>
      <c r="AJ21" s="42">
        <f t="shared" si="8"/>
        <v>1000000000000</v>
      </c>
      <c r="AK21" s="114"/>
      <c r="AL21" s="114"/>
      <c r="AM21" s="121">
        <v>12.0</v>
      </c>
      <c r="AN21" s="42">
        <f t="shared" si="9"/>
        <v>1000000000000</v>
      </c>
      <c r="AO21" s="114"/>
    </row>
    <row r="22">
      <c r="A22" s="114"/>
      <c r="B22" s="114"/>
      <c r="C22" s="114"/>
      <c r="D22" s="114"/>
      <c r="E22" s="114"/>
      <c r="F22" s="114"/>
      <c r="G22" s="121">
        <v>13.0</v>
      </c>
      <c r="H22" s="42">
        <f t="shared" si="1"/>
        <v>1594323000000</v>
      </c>
      <c r="I22" s="114"/>
      <c r="J22" s="114"/>
      <c r="K22" s="121">
        <v>13.0</v>
      </c>
      <c r="L22" s="42">
        <f t="shared" si="2"/>
        <v>134217728000000</v>
      </c>
      <c r="M22" s="114"/>
      <c r="N22" s="114"/>
      <c r="O22" s="121">
        <v>13.0</v>
      </c>
      <c r="P22" s="42">
        <f t="shared" si="3"/>
        <v>3.66211E+15</v>
      </c>
      <c r="Q22" s="114"/>
      <c r="R22" s="114"/>
      <c r="S22" s="121">
        <v>13.0</v>
      </c>
      <c r="T22" s="42">
        <f t="shared" si="4"/>
        <v>5.22428E+17</v>
      </c>
      <c r="U22" s="114"/>
      <c r="V22" s="114"/>
      <c r="W22" s="121">
        <v>13.0</v>
      </c>
      <c r="X22" s="42">
        <f t="shared" si="5"/>
        <v>4.84445E+18</v>
      </c>
      <c r="Y22" s="114"/>
      <c r="Z22" s="114"/>
      <c r="AA22" s="121">
        <v>13.0</v>
      </c>
      <c r="AB22" s="42">
        <f t="shared" si="6"/>
        <v>3.29853E+20</v>
      </c>
      <c r="AC22" s="114"/>
      <c r="AD22" s="114"/>
      <c r="AE22" s="121">
        <v>13.0</v>
      </c>
      <c r="AF22" s="42">
        <f t="shared" si="7"/>
        <v>1.77931E+21</v>
      </c>
      <c r="AG22" s="114"/>
      <c r="AH22" s="114"/>
      <c r="AI22" s="121">
        <v>13.0</v>
      </c>
      <c r="AJ22" s="42">
        <f t="shared" si="8"/>
        <v>10000000000000</v>
      </c>
      <c r="AK22" s="114"/>
      <c r="AL22" s="114"/>
      <c r="AM22" s="121">
        <v>13.0</v>
      </c>
      <c r="AN22" s="42">
        <f t="shared" si="9"/>
        <v>10000000000000</v>
      </c>
      <c r="AO22" s="114"/>
    </row>
    <row r="23">
      <c r="A23" s="114"/>
      <c r="B23" s="114"/>
      <c r="C23" s="114"/>
      <c r="D23" s="114"/>
      <c r="E23" s="114"/>
      <c r="F23" s="114"/>
      <c r="G23" s="121">
        <v>14.0</v>
      </c>
      <c r="H23" s="42">
        <f t="shared" si="1"/>
        <v>4782969000000</v>
      </c>
      <c r="I23" s="114"/>
      <c r="J23" s="114"/>
      <c r="K23" s="121">
        <v>14.0</v>
      </c>
      <c r="L23" s="42">
        <f t="shared" si="2"/>
        <v>536870912000000</v>
      </c>
      <c r="M23" s="114"/>
      <c r="N23" s="114"/>
      <c r="O23" s="121">
        <v>14.0</v>
      </c>
      <c r="P23" s="42">
        <f t="shared" si="3"/>
        <v>1.83105E+16</v>
      </c>
      <c r="Q23" s="114"/>
      <c r="R23" s="114"/>
      <c r="S23" s="121">
        <v>14.0</v>
      </c>
      <c r="T23" s="42">
        <f t="shared" si="4"/>
        <v>3.13457E+18</v>
      </c>
      <c r="U23" s="114"/>
      <c r="V23" s="114"/>
      <c r="W23" s="121">
        <v>14.0</v>
      </c>
      <c r="X23" s="42">
        <f t="shared" si="5"/>
        <v>3.39112E+19</v>
      </c>
      <c r="Y23" s="114"/>
      <c r="Z23" s="114"/>
      <c r="AA23" s="121">
        <v>14.0</v>
      </c>
      <c r="AB23" s="42">
        <f t="shared" si="6"/>
        <v>2.63883E+21</v>
      </c>
      <c r="AC23" s="114"/>
      <c r="AD23" s="114"/>
      <c r="AE23" s="121">
        <v>14.0</v>
      </c>
      <c r="AF23" s="42">
        <f t="shared" si="7"/>
        <v>1.60138E+22</v>
      </c>
      <c r="AG23" s="114"/>
      <c r="AH23" s="114"/>
      <c r="AI23" s="121">
        <v>14.0</v>
      </c>
      <c r="AJ23" s="42">
        <f t="shared" si="8"/>
        <v>100000000000000</v>
      </c>
      <c r="AK23" s="114"/>
      <c r="AL23" s="114"/>
      <c r="AM23" s="121">
        <v>14.0</v>
      </c>
      <c r="AN23" s="42">
        <f t="shared" si="9"/>
        <v>100000000000000</v>
      </c>
      <c r="AO23" s="114"/>
    </row>
    <row r="24">
      <c r="A24" s="114"/>
      <c r="B24" s="114"/>
      <c r="C24" s="114"/>
      <c r="D24" s="114"/>
      <c r="E24" s="114"/>
      <c r="F24" s="114"/>
      <c r="G24" s="121">
        <v>15.0</v>
      </c>
      <c r="H24" s="42">
        <f t="shared" si="1"/>
        <v>14348907000000</v>
      </c>
      <c r="I24" s="114"/>
      <c r="J24" s="114"/>
      <c r="K24" s="121">
        <v>15.0</v>
      </c>
      <c r="L24" s="42">
        <f t="shared" si="2"/>
        <v>2.14748E+15</v>
      </c>
      <c r="M24" s="114"/>
      <c r="N24" s="114"/>
      <c r="O24" s="121">
        <v>15.0</v>
      </c>
      <c r="P24" s="42">
        <f t="shared" si="3"/>
        <v>9.15527E+16</v>
      </c>
      <c r="Q24" s="114"/>
      <c r="R24" s="114"/>
      <c r="S24" s="121">
        <v>15.0</v>
      </c>
      <c r="T24" s="42">
        <f t="shared" si="4"/>
        <v>1.88074E+19</v>
      </c>
      <c r="U24" s="114"/>
      <c r="V24" s="114"/>
      <c r="W24" s="121">
        <v>15.0</v>
      </c>
      <c r="X24" s="42">
        <f t="shared" si="5"/>
        <v>2.37378E+20</v>
      </c>
      <c r="Y24" s="114"/>
      <c r="Z24" s="114"/>
      <c r="AA24" s="121">
        <v>15.0</v>
      </c>
      <c r="AB24" s="42">
        <f t="shared" si="6"/>
        <v>2.11106E+22</v>
      </c>
      <c r="AC24" s="114"/>
      <c r="AD24" s="114"/>
      <c r="AE24" s="121">
        <v>15.0</v>
      </c>
      <c r="AF24" s="42">
        <f t="shared" si="7"/>
        <v>1.44124E+23</v>
      </c>
      <c r="AG24" s="114"/>
      <c r="AH24" s="114"/>
      <c r="AI24" s="121">
        <v>15.0</v>
      </c>
      <c r="AJ24" s="42">
        <f t="shared" si="8"/>
        <v>1E+15</v>
      </c>
      <c r="AK24" s="114"/>
      <c r="AL24" s="114"/>
      <c r="AM24" s="121">
        <v>15.0</v>
      </c>
      <c r="AN24" s="42">
        <f t="shared" si="9"/>
        <v>1E+15</v>
      </c>
      <c r="AO24" s="114"/>
    </row>
    <row r="25">
      <c r="A25" s="114"/>
      <c r="B25" s="114"/>
      <c r="C25" s="114"/>
      <c r="D25" s="114"/>
      <c r="E25" s="114"/>
      <c r="F25" s="114"/>
      <c r="G25" s="121">
        <v>16.0</v>
      </c>
      <c r="H25" s="42">
        <f t="shared" si="1"/>
        <v>43046721000000</v>
      </c>
      <c r="I25" s="114"/>
      <c r="J25" s="114"/>
      <c r="K25" s="121">
        <v>16.0</v>
      </c>
      <c r="L25" s="42">
        <f t="shared" si="2"/>
        <v>8.58993E+15</v>
      </c>
      <c r="M25" s="114"/>
      <c r="N25" s="114"/>
      <c r="O25" s="121">
        <v>16.0</v>
      </c>
      <c r="P25" s="42">
        <f t="shared" si="3"/>
        <v>4.57764E+17</v>
      </c>
      <c r="Q25" s="114"/>
      <c r="R25" s="114"/>
      <c r="S25" s="121">
        <v>16.0</v>
      </c>
      <c r="T25" s="42">
        <f t="shared" si="4"/>
        <v>1.12844E+20</v>
      </c>
      <c r="U25" s="114"/>
      <c r="V25" s="114"/>
      <c r="W25" s="121">
        <v>16.0</v>
      </c>
      <c r="X25" s="42">
        <f t="shared" si="5"/>
        <v>1.66165E+21</v>
      </c>
      <c r="Y25" s="114"/>
      <c r="Z25" s="114"/>
      <c r="AA25" s="121">
        <v>16.0</v>
      </c>
      <c r="AB25" s="42">
        <f t="shared" si="6"/>
        <v>1.68885E+23</v>
      </c>
      <c r="AC25" s="114"/>
      <c r="AD25" s="114"/>
      <c r="AE25" s="121">
        <v>16.0</v>
      </c>
      <c r="AF25" s="42">
        <f t="shared" si="7"/>
        <v>1.29711E+24</v>
      </c>
      <c r="AG25" s="114"/>
      <c r="AH25" s="114"/>
      <c r="AI25" s="121">
        <v>16.0</v>
      </c>
      <c r="AJ25" s="42">
        <f t="shared" si="8"/>
        <v>1E+16</v>
      </c>
      <c r="AK25" s="114"/>
      <c r="AL25" s="114"/>
      <c r="AM25" s="121">
        <v>16.0</v>
      </c>
      <c r="AN25" s="42">
        <f t="shared" si="9"/>
        <v>1E+16</v>
      </c>
      <c r="AO25" s="114"/>
    </row>
    <row r="26">
      <c r="A26" s="114"/>
      <c r="B26" s="114"/>
      <c r="C26" s="114"/>
      <c r="D26" s="114"/>
      <c r="E26" s="114"/>
      <c r="F26" s="114"/>
      <c r="G26" s="121">
        <v>17.0</v>
      </c>
      <c r="H26" s="42">
        <f t="shared" si="1"/>
        <v>129140163000000</v>
      </c>
      <c r="I26" s="114"/>
      <c r="J26" s="114"/>
      <c r="K26" s="121">
        <v>17.0</v>
      </c>
      <c r="L26" s="42">
        <f t="shared" si="2"/>
        <v>3.43597E+16</v>
      </c>
      <c r="M26" s="114"/>
      <c r="N26" s="114"/>
      <c r="O26" s="121">
        <v>17.0</v>
      </c>
      <c r="P26" s="42">
        <f t="shared" si="3"/>
        <v>2.28882E+18</v>
      </c>
      <c r="Q26" s="114"/>
      <c r="R26" s="114"/>
      <c r="S26" s="121">
        <v>17.0</v>
      </c>
      <c r="T26" s="42">
        <f t="shared" si="4"/>
        <v>6.77066E+20</v>
      </c>
      <c r="U26" s="114"/>
      <c r="V26" s="114"/>
      <c r="W26" s="121">
        <v>17.0</v>
      </c>
      <c r="X26" s="42">
        <f t="shared" si="5"/>
        <v>1.16315E+22</v>
      </c>
      <c r="Y26" s="114"/>
      <c r="Z26" s="114"/>
      <c r="AA26" s="121">
        <v>17.0</v>
      </c>
      <c r="AB26" s="42">
        <f t="shared" si="6"/>
        <v>1.35108E+24</v>
      </c>
      <c r="AC26" s="114"/>
      <c r="AD26" s="114"/>
      <c r="AE26" s="121">
        <v>17.0</v>
      </c>
      <c r="AF26" s="42">
        <f t="shared" si="7"/>
        <v>1.1674E+25</v>
      </c>
      <c r="AG26" s="114"/>
      <c r="AH26" s="114"/>
      <c r="AI26" s="121">
        <v>17.0</v>
      </c>
      <c r="AJ26" s="42">
        <f t="shared" si="8"/>
        <v>1E+17</v>
      </c>
      <c r="AK26" s="114"/>
      <c r="AL26" s="114"/>
      <c r="AM26" s="121">
        <v>17.0</v>
      </c>
      <c r="AN26" s="42">
        <f t="shared" si="9"/>
        <v>1E+17</v>
      </c>
      <c r="AO26" s="114"/>
    </row>
    <row r="27">
      <c r="A27" s="114"/>
      <c r="B27" s="114"/>
      <c r="C27" s="114"/>
      <c r="D27" s="114"/>
      <c r="E27" s="114"/>
      <c r="F27" s="114"/>
      <c r="G27" s="121">
        <v>18.0</v>
      </c>
      <c r="H27" s="42">
        <f t="shared" si="1"/>
        <v>387420489000000</v>
      </c>
      <c r="I27" s="114"/>
      <c r="J27" s="114"/>
      <c r="K27" s="121">
        <v>18.0</v>
      </c>
      <c r="L27" s="42">
        <f t="shared" si="2"/>
        <v>1.37439E+17</v>
      </c>
      <c r="M27" s="114"/>
      <c r="N27" s="114"/>
      <c r="O27" s="121">
        <v>18.0</v>
      </c>
      <c r="P27" s="42">
        <f t="shared" si="3"/>
        <v>1.14441E+19</v>
      </c>
      <c r="Q27" s="114"/>
      <c r="R27" s="114"/>
      <c r="S27" s="121">
        <v>18.0</v>
      </c>
      <c r="T27" s="42">
        <f t="shared" si="4"/>
        <v>4.0624E+21</v>
      </c>
      <c r="U27" s="114"/>
      <c r="V27" s="114"/>
      <c r="W27" s="121">
        <v>18.0</v>
      </c>
      <c r="X27" s="42">
        <f t="shared" si="5"/>
        <v>8.14207E+22</v>
      </c>
      <c r="Y27" s="114"/>
      <c r="Z27" s="114"/>
      <c r="AA27" s="121">
        <v>18.0</v>
      </c>
      <c r="AB27" s="42">
        <f t="shared" si="6"/>
        <v>1.08086E+25</v>
      </c>
      <c r="AC27" s="114"/>
      <c r="AD27" s="114"/>
      <c r="AE27" s="121">
        <v>18.0</v>
      </c>
      <c r="AF27" s="42">
        <f t="shared" si="7"/>
        <v>1.05066E+26</v>
      </c>
      <c r="AG27" s="114"/>
      <c r="AH27" s="114"/>
      <c r="AI27" s="121">
        <v>18.0</v>
      </c>
      <c r="AJ27" s="42">
        <f t="shared" si="8"/>
        <v>1E+18</v>
      </c>
      <c r="AK27" s="114"/>
      <c r="AL27" s="114"/>
      <c r="AM27" s="121">
        <v>18.0</v>
      </c>
      <c r="AN27" s="42">
        <f t="shared" si="9"/>
        <v>1E+18</v>
      </c>
      <c r="AO27" s="114"/>
    </row>
    <row r="28">
      <c r="A28" s="114"/>
      <c r="B28" s="114"/>
      <c r="C28" s="114"/>
      <c r="D28" s="114"/>
      <c r="E28" s="114"/>
      <c r="F28" s="114"/>
      <c r="G28" s="121">
        <v>19.0</v>
      </c>
      <c r="H28" s="42">
        <f t="shared" si="1"/>
        <v>1.16226E+15</v>
      </c>
      <c r="I28" s="114"/>
      <c r="J28" s="114"/>
      <c r="K28" s="121">
        <v>19.0</v>
      </c>
      <c r="L28" s="42">
        <f t="shared" si="2"/>
        <v>5.49756E+17</v>
      </c>
      <c r="M28" s="114"/>
      <c r="N28" s="114"/>
      <c r="O28" s="121">
        <v>19.0</v>
      </c>
      <c r="P28" s="42">
        <f t="shared" si="3"/>
        <v>5.72205E+19</v>
      </c>
      <c r="Q28" s="114"/>
      <c r="R28" s="114"/>
      <c r="S28" s="121">
        <v>19.0</v>
      </c>
      <c r="T28" s="42">
        <f t="shared" si="4"/>
        <v>2.43744E+22</v>
      </c>
      <c r="U28" s="114"/>
      <c r="V28" s="114"/>
      <c r="W28" s="121">
        <v>19.0</v>
      </c>
      <c r="X28" s="42">
        <f t="shared" si="5"/>
        <v>5.69945E+23</v>
      </c>
      <c r="Y28" s="114"/>
      <c r="Z28" s="114"/>
      <c r="AA28" s="121">
        <v>19.0</v>
      </c>
      <c r="AB28" s="42">
        <f t="shared" si="6"/>
        <v>8.64691E+25</v>
      </c>
      <c r="AC28" s="114"/>
      <c r="AD28" s="114"/>
      <c r="AE28" s="121">
        <v>19.0</v>
      </c>
      <c r="AF28" s="42">
        <f t="shared" si="7"/>
        <v>9.45596E+26</v>
      </c>
      <c r="AG28" s="114"/>
      <c r="AH28" s="114"/>
      <c r="AI28" s="121">
        <v>19.0</v>
      </c>
      <c r="AJ28" s="42">
        <f t="shared" si="8"/>
        <v>1E+19</v>
      </c>
      <c r="AK28" s="114"/>
      <c r="AL28" s="114"/>
      <c r="AM28" s="121">
        <v>19.0</v>
      </c>
      <c r="AN28" s="42">
        <f t="shared" si="9"/>
        <v>1E+19</v>
      </c>
      <c r="AO28" s="114"/>
    </row>
    <row r="29">
      <c r="A29" s="114"/>
      <c r="B29" s="114"/>
      <c r="C29" s="114"/>
      <c r="D29" s="114"/>
      <c r="E29" s="114"/>
      <c r="F29" s="114"/>
      <c r="G29" s="121">
        <v>20.0</v>
      </c>
      <c r="H29" s="42">
        <f t="shared" si="1"/>
        <v>3.48678E+15</v>
      </c>
      <c r="I29" s="114"/>
      <c r="J29" s="114"/>
      <c r="K29" s="121">
        <v>20.0</v>
      </c>
      <c r="L29" s="42">
        <f t="shared" si="2"/>
        <v>2.19902E+18</v>
      </c>
      <c r="M29" s="114"/>
      <c r="N29" s="114"/>
      <c r="O29" s="121">
        <v>20.0</v>
      </c>
      <c r="P29" s="42">
        <f t="shared" si="3"/>
        <v>2.86102E+20</v>
      </c>
      <c r="Q29" s="114"/>
      <c r="R29" s="114"/>
      <c r="S29" s="121">
        <v>20.0</v>
      </c>
      <c r="T29" s="42">
        <f t="shared" si="4"/>
        <v>1.46246E+23</v>
      </c>
      <c r="U29" s="114"/>
      <c r="V29" s="114"/>
      <c r="W29" s="121">
        <v>20.0</v>
      </c>
      <c r="X29" s="42">
        <f t="shared" si="5"/>
        <v>3.98961E+24</v>
      </c>
      <c r="Y29" s="114"/>
      <c r="Z29" s="114"/>
      <c r="AA29" s="121">
        <v>20.0</v>
      </c>
      <c r="AB29" s="42">
        <f t="shared" si="6"/>
        <v>6.91753E+26</v>
      </c>
      <c r="AC29" s="114"/>
      <c r="AD29" s="114"/>
      <c r="AE29" s="121">
        <v>20.0</v>
      </c>
      <c r="AF29" s="42">
        <f t="shared" si="7"/>
        <v>8.51037E+27</v>
      </c>
      <c r="AG29" s="114"/>
      <c r="AH29" s="114"/>
      <c r="AI29" s="121">
        <v>20.0</v>
      </c>
      <c r="AJ29" s="42">
        <f t="shared" si="8"/>
        <v>1E+20</v>
      </c>
      <c r="AK29" s="114"/>
      <c r="AL29" s="114"/>
      <c r="AM29" s="121">
        <v>20.0</v>
      </c>
      <c r="AN29" s="42">
        <f t="shared" si="9"/>
        <v>1E+20</v>
      </c>
      <c r="AO29" s="114"/>
    </row>
    <row r="30">
      <c r="A30" s="114"/>
      <c r="B30" s="114"/>
      <c r="C30" s="114"/>
      <c r="D30" s="114"/>
      <c r="E30" s="114"/>
      <c r="F30" s="114"/>
      <c r="G30" s="121">
        <v>21.0</v>
      </c>
      <c r="H30" s="42">
        <f t="shared" si="1"/>
        <v>1.04604E+16</v>
      </c>
      <c r="I30" s="114"/>
      <c r="J30" s="114"/>
      <c r="K30" s="121">
        <v>21.0</v>
      </c>
      <c r="L30" s="42">
        <f t="shared" si="2"/>
        <v>8.79609E+18</v>
      </c>
      <c r="M30" s="114"/>
      <c r="N30" s="114"/>
      <c r="O30" s="121">
        <v>21.0</v>
      </c>
      <c r="P30" s="42">
        <f t="shared" si="3"/>
        <v>1.43051E+21</v>
      </c>
      <c r="Q30" s="114"/>
      <c r="R30" s="114"/>
      <c r="S30" s="121">
        <v>21.0</v>
      </c>
      <c r="T30" s="42">
        <f t="shared" si="4"/>
        <v>8.77478E+23</v>
      </c>
      <c r="U30" s="114"/>
      <c r="V30" s="114"/>
      <c r="W30" s="121">
        <v>21.0</v>
      </c>
      <c r="X30" s="42">
        <f t="shared" si="5"/>
        <v>2.79273E+25</v>
      </c>
      <c r="Y30" s="114"/>
      <c r="Z30" s="114"/>
      <c r="AA30" s="121">
        <v>21.0</v>
      </c>
      <c r="AB30" s="42">
        <f t="shared" si="6"/>
        <v>5.53402E+27</v>
      </c>
      <c r="AC30" s="114"/>
      <c r="AD30" s="114"/>
      <c r="AE30" s="121">
        <v>21.0</v>
      </c>
      <c r="AF30" s="42">
        <f t="shared" si="7"/>
        <v>7.65933E+28</v>
      </c>
      <c r="AG30" s="114"/>
      <c r="AH30" s="114"/>
      <c r="AI30" s="121">
        <v>21.0</v>
      </c>
      <c r="AJ30" s="42">
        <f t="shared" si="8"/>
        <v>1E+21</v>
      </c>
      <c r="AK30" s="114"/>
      <c r="AL30" s="114"/>
      <c r="AM30" s="121">
        <v>21.0</v>
      </c>
      <c r="AN30" s="42">
        <f t="shared" si="9"/>
        <v>1E+21</v>
      </c>
      <c r="AO30" s="114"/>
    </row>
    <row r="31">
      <c r="A31" s="114"/>
      <c r="B31" s="114"/>
      <c r="C31" s="114"/>
      <c r="D31" s="114"/>
      <c r="E31" s="114"/>
      <c r="F31" s="114"/>
      <c r="G31" s="121">
        <v>22.0</v>
      </c>
      <c r="H31" s="42">
        <f t="shared" si="1"/>
        <v>3.13811E+16</v>
      </c>
      <c r="I31" s="114"/>
      <c r="J31" s="114"/>
      <c r="K31" s="121">
        <v>22.0</v>
      </c>
      <c r="L31" s="42">
        <f t="shared" si="2"/>
        <v>3.51844E+19</v>
      </c>
      <c r="M31" s="114"/>
      <c r="N31" s="114"/>
      <c r="O31" s="121">
        <v>22.0</v>
      </c>
      <c r="P31" s="42">
        <f t="shared" si="3"/>
        <v>7.15256E+21</v>
      </c>
      <c r="Q31" s="114"/>
      <c r="R31" s="114"/>
      <c r="S31" s="121">
        <v>22.0</v>
      </c>
      <c r="T31" s="42">
        <f t="shared" si="4"/>
        <v>5.26487E+24</v>
      </c>
      <c r="U31" s="114"/>
      <c r="V31" s="114"/>
      <c r="W31" s="121">
        <v>22.0</v>
      </c>
      <c r="X31" s="42">
        <f t="shared" si="5"/>
        <v>1.95491E+26</v>
      </c>
      <c r="Y31" s="114"/>
      <c r="Z31" s="114"/>
      <c r="AA31" s="121">
        <v>22.0</v>
      </c>
      <c r="AB31" s="42">
        <f t="shared" si="6"/>
        <v>4.42722E+28</v>
      </c>
      <c r="AC31" s="114"/>
      <c r="AD31" s="114"/>
      <c r="AE31" s="121">
        <v>22.0</v>
      </c>
      <c r="AF31" s="42">
        <f t="shared" si="7"/>
        <v>6.8934E+29</v>
      </c>
      <c r="AG31" s="114"/>
      <c r="AH31" s="114"/>
      <c r="AI31" s="121">
        <v>22.0</v>
      </c>
      <c r="AJ31" s="42">
        <f t="shared" si="8"/>
        <v>1E+22</v>
      </c>
      <c r="AK31" s="114"/>
      <c r="AL31" s="114"/>
      <c r="AM31" s="121">
        <v>22.0</v>
      </c>
      <c r="AN31" s="42">
        <f t="shared" si="9"/>
        <v>1E+22</v>
      </c>
      <c r="AO31" s="114"/>
    </row>
    <row r="32">
      <c r="A32" s="114"/>
      <c r="B32" s="114"/>
      <c r="C32" s="114"/>
      <c r="D32" s="114"/>
      <c r="E32" s="114"/>
      <c r="F32" s="114"/>
      <c r="G32" s="121">
        <v>23.0</v>
      </c>
      <c r="H32" s="42">
        <f t="shared" si="1"/>
        <v>9.41432E+16</v>
      </c>
      <c r="I32" s="114"/>
      <c r="J32" s="114"/>
      <c r="K32" s="121">
        <v>23.0</v>
      </c>
      <c r="L32" s="42">
        <f t="shared" si="2"/>
        <v>1.40737E+20</v>
      </c>
      <c r="M32" s="114"/>
      <c r="N32" s="114"/>
      <c r="O32" s="121">
        <v>23.0</v>
      </c>
      <c r="P32" s="42">
        <f t="shared" si="3"/>
        <v>3.57628E+22</v>
      </c>
      <c r="Q32" s="114"/>
      <c r="R32" s="114"/>
      <c r="S32" s="121">
        <v>23.0</v>
      </c>
      <c r="T32" s="42">
        <f t="shared" si="4"/>
        <v>3.15892E+25</v>
      </c>
      <c r="U32" s="114"/>
      <c r="V32" s="114"/>
      <c r="W32" s="121">
        <v>23.0</v>
      </c>
      <c r="X32" s="42">
        <f t="shared" si="5"/>
        <v>1.36844E+27</v>
      </c>
      <c r="Y32" s="114"/>
      <c r="Z32" s="114"/>
      <c r="AA32" s="121">
        <v>23.0</v>
      </c>
      <c r="AB32" s="42">
        <f t="shared" si="6"/>
        <v>3.54177E+29</v>
      </c>
      <c r="AC32" s="114"/>
      <c r="AD32" s="114"/>
      <c r="AE32" s="121">
        <v>23.0</v>
      </c>
      <c r="AF32" s="42">
        <f t="shared" si="7"/>
        <v>6.20406E+30</v>
      </c>
      <c r="AG32" s="114"/>
      <c r="AH32" s="114"/>
      <c r="AI32" s="121">
        <v>23.0</v>
      </c>
      <c r="AJ32" s="42">
        <f t="shared" si="8"/>
        <v>1E+23</v>
      </c>
      <c r="AK32" s="114"/>
      <c r="AL32" s="114"/>
      <c r="AM32" s="121">
        <v>23.0</v>
      </c>
      <c r="AN32" s="42">
        <f t="shared" si="9"/>
        <v>1E+23</v>
      </c>
      <c r="AO32" s="114"/>
    </row>
    <row r="33">
      <c r="A33" s="114"/>
      <c r="B33" s="114"/>
      <c r="C33" s="114"/>
      <c r="D33" s="114"/>
      <c r="E33" s="114"/>
      <c r="F33" s="114"/>
      <c r="G33" s="121">
        <v>24.0</v>
      </c>
      <c r="H33" s="42">
        <f t="shared" si="1"/>
        <v>2.8243E+17</v>
      </c>
      <c r="I33" s="114"/>
      <c r="J33" s="114"/>
      <c r="K33" s="121">
        <v>24.0</v>
      </c>
      <c r="L33" s="42">
        <f t="shared" si="2"/>
        <v>5.6295E+20</v>
      </c>
      <c r="M33" s="114"/>
      <c r="N33" s="114"/>
      <c r="O33" s="121">
        <v>24.0</v>
      </c>
      <c r="P33" s="42">
        <f t="shared" si="3"/>
        <v>1.78814E+23</v>
      </c>
      <c r="Q33" s="114"/>
      <c r="R33" s="114"/>
      <c r="S33" s="121">
        <v>24.0</v>
      </c>
      <c r="T33" s="42">
        <f t="shared" si="4"/>
        <v>1.89535E+26</v>
      </c>
      <c r="U33" s="114"/>
      <c r="V33" s="114"/>
      <c r="W33" s="121">
        <v>24.0</v>
      </c>
      <c r="X33" s="42">
        <f t="shared" si="5"/>
        <v>9.57906E+27</v>
      </c>
      <c r="Y33" s="114"/>
      <c r="Z33" s="114"/>
      <c r="AA33" s="121">
        <v>24.0</v>
      </c>
      <c r="AB33" s="42">
        <f t="shared" si="6"/>
        <v>2.83342E+30</v>
      </c>
      <c r="AC33" s="114"/>
      <c r="AD33" s="114"/>
      <c r="AE33" s="121">
        <v>24.0</v>
      </c>
      <c r="AF33" s="42">
        <f t="shared" si="7"/>
        <v>5.58365E+31</v>
      </c>
      <c r="AG33" s="114"/>
      <c r="AH33" s="114"/>
      <c r="AI33" s="121">
        <v>24.0</v>
      </c>
      <c r="AJ33" s="42">
        <f t="shared" si="8"/>
        <v>1E+24</v>
      </c>
      <c r="AK33" s="114"/>
      <c r="AL33" s="114"/>
      <c r="AM33" s="121">
        <v>24.0</v>
      </c>
      <c r="AN33" s="42">
        <f t="shared" si="9"/>
        <v>1E+24</v>
      </c>
      <c r="AO33" s="114"/>
    </row>
    <row r="34">
      <c r="A34" s="114"/>
      <c r="B34" s="114"/>
      <c r="C34" s="114"/>
      <c r="D34" s="114"/>
      <c r="E34" s="114"/>
      <c r="F34" s="114"/>
      <c r="G34" s="121">
        <v>25.0</v>
      </c>
      <c r="H34" s="42">
        <f t="shared" si="1"/>
        <v>8.47289E+17</v>
      </c>
      <c r="I34" s="114"/>
      <c r="J34" s="114"/>
      <c r="K34" s="121">
        <v>25.0</v>
      </c>
      <c r="L34" s="42">
        <f t="shared" si="2"/>
        <v>2.2518E+21</v>
      </c>
      <c r="M34" s="114"/>
      <c r="N34" s="114"/>
      <c r="O34" s="121">
        <v>25.0</v>
      </c>
      <c r="P34" s="42">
        <f t="shared" si="3"/>
        <v>8.9407E+23</v>
      </c>
      <c r="Q34" s="114"/>
      <c r="R34" s="114"/>
      <c r="S34" s="121">
        <v>25.0</v>
      </c>
      <c r="T34" s="42">
        <f t="shared" si="4"/>
        <v>1.13721E+27</v>
      </c>
      <c r="U34" s="114"/>
      <c r="V34" s="114"/>
      <c r="W34" s="121">
        <v>25.0</v>
      </c>
      <c r="X34" s="42">
        <f t="shared" si="5"/>
        <v>6.70534E+28</v>
      </c>
      <c r="Y34" s="114"/>
      <c r="Z34" s="114"/>
      <c r="AA34" s="121">
        <v>25.0</v>
      </c>
      <c r="AB34" s="42">
        <f t="shared" si="6"/>
        <v>2.26674E+31</v>
      </c>
      <c r="AC34" s="114"/>
      <c r="AD34" s="114"/>
      <c r="AE34" s="121">
        <v>25.0</v>
      </c>
      <c r="AF34" s="42">
        <f t="shared" si="7"/>
        <v>5.02529E+32</v>
      </c>
      <c r="AG34" s="114"/>
      <c r="AH34" s="114"/>
      <c r="AI34" s="121">
        <v>25.0</v>
      </c>
      <c r="AJ34" s="42">
        <f t="shared" si="8"/>
        <v>1E+25</v>
      </c>
      <c r="AK34" s="114"/>
      <c r="AL34" s="114"/>
      <c r="AM34" s="121">
        <v>25.0</v>
      </c>
      <c r="AN34" s="42">
        <f t="shared" si="9"/>
        <v>1E+25</v>
      </c>
      <c r="AO34" s="114"/>
    </row>
    <row r="35">
      <c r="A35" s="114"/>
      <c r="B35" s="114"/>
      <c r="C35" s="114"/>
      <c r="D35" s="114"/>
      <c r="E35" s="114"/>
      <c r="F35" s="114"/>
      <c r="G35" s="121">
        <v>26.0</v>
      </c>
      <c r="H35" s="42">
        <f t="shared" si="1"/>
        <v>2.54187E+18</v>
      </c>
      <c r="I35" s="114"/>
      <c r="J35" s="114"/>
      <c r="K35" s="121">
        <v>26.0</v>
      </c>
      <c r="L35" s="42">
        <f t="shared" si="2"/>
        <v>9.0072E+21</v>
      </c>
      <c r="M35" s="114"/>
      <c r="N35" s="114"/>
      <c r="O35" s="121">
        <v>26.0</v>
      </c>
      <c r="P35" s="42">
        <f t="shared" si="3"/>
        <v>4.47035E+24</v>
      </c>
      <c r="Q35" s="114"/>
      <c r="R35" s="114"/>
      <c r="S35" s="121">
        <v>26.0</v>
      </c>
      <c r="T35" s="42">
        <f t="shared" si="4"/>
        <v>6.82327E+27</v>
      </c>
      <c r="U35" s="114"/>
      <c r="V35" s="114"/>
      <c r="W35" s="121">
        <v>26.0</v>
      </c>
      <c r="X35" s="42">
        <f t="shared" si="5"/>
        <v>4.69374E+29</v>
      </c>
      <c r="Y35" s="114"/>
      <c r="Z35" s="114"/>
      <c r="AA35" s="121">
        <v>26.0</v>
      </c>
      <c r="AB35" s="42">
        <f t="shared" si="6"/>
        <v>1.81339E+32</v>
      </c>
      <c r="AC35" s="114"/>
      <c r="AD35" s="114"/>
      <c r="AE35" s="121">
        <v>26.0</v>
      </c>
      <c r="AF35" s="42">
        <f t="shared" si="7"/>
        <v>4.52276E+33</v>
      </c>
      <c r="AG35" s="114"/>
      <c r="AH35" s="114"/>
      <c r="AI35" s="121">
        <v>26.0</v>
      </c>
      <c r="AJ35" s="42">
        <f t="shared" si="8"/>
        <v>1E+26</v>
      </c>
      <c r="AK35" s="114"/>
      <c r="AL35" s="114"/>
      <c r="AM35" s="121">
        <v>26.0</v>
      </c>
      <c r="AN35" s="42">
        <f t="shared" si="9"/>
        <v>1E+26</v>
      </c>
      <c r="AO35" s="114"/>
    </row>
    <row r="36">
      <c r="A36" s="114"/>
      <c r="B36" s="114"/>
      <c r="C36" s="114"/>
      <c r="D36" s="114"/>
      <c r="E36" s="114"/>
      <c r="F36" s="114"/>
      <c r="G36" s="121">
        <v>27.0</v>
      </c>
      <c r="H36" s="42">
        <f t="shared" si="1"/>
        <v>7.6256E+18</v>
      </c>
      <c r="I36" s="114"/>
      <c r="J36" s="114"/>
      <c r="K36" s="121">
        <v>27.0</v>
      </c>
      <c r="L36" s="42">
        <f t="shared" si="2"/>
        <v>3.60288E+22</v>
      </c>
      <c r="M36" s="114"/>
      <c r="N36" s="114"/>
      <c r="O36" s="121">
        <v>27.0</v>
      </c>
      <c r="P36" s="42">
        <f t="shared" si="3"/>
        <v>2.23517E+25</v>
      </c>
      <c r="Q36" s="114"/>
      <c r="R36" s="114"/>
      <c r="S36" s="121">
        <v>27.0</v>
      </c>
      <c r="T36" s="42">
        <f t="shared" si="4"/>
        <v>4.09396E+28</v>
      </c>
      <c r="U36" s="114"/>
      <c r="V36" s="114"/>
      <c r="W36" s="121">
        <v>27.0</v>
      </c>
      <c r="X36" s="42">
        <f t="shared" si="5"/>
        <v>3.28562E+30</v>
      </c>
      <c r="Y36" s="114"/>
      <c r="Z36" s="114"/>
      <c r="AA36" s="121">
        <v>27.0</v>
      </c>
      <c r="AB36" s="42">
        <f t="shared" si="6"/>
        <v>1.45071E+33</v>
      </c>
      <c r="AC36" s="114"/>
      <c r="AD36" s="114"/>
      <c r="AE36" s="121">
        <v>27.0</v>
      </c>
      <c r="AF36" s="42">
        <f t="shared" si="7"/>
        <v>4.07048E+34</v>
      </c>
      <c r="AG36" s="114"/>
      <c r="AH36" s="114"/>
      <c r="AI36" s="121">
        <v>27.0</v>
      </c>
      <c r="AJ36" s="42">
        <f t="shared" si="8"/>
        <v>1E+27</v>
      </c>
      <c r="AK36" s="114"/>
      <c r="AL36" s="114"/>
      <c r="AM36" s="121">
        <v>27.0</v>
      </c>
      <c r="AN36" s="42">
        <f t="shared" si="9"/>
        <v>1E+27</v>
      </c>
      <c r="AO36" s="114"/>
    </row>
    <row r="37">
      <c r="A37" s="114"/>
      <c r="B37" s="114"/>
      <c r="C37" s="114"/>
      <c r="D37" s="114"/>
      <c r="E37" s="114"/>
      <c r="F37" s="114"/>
      <c r="G37" s="121">
        <v>28.0</v>
      </c>
      <c r="H37" s="42">
        <f t="shared" si="1"/>
        <v>2.28768E+19</v>
      </c>
      <c r="I37" s="114"/>
      <c r="J37" s="114"/>
      <c r="K37" s="121">
        <v>28.0</v>
      </c>
      <c r="L37" s="42">
        <f t="shared" si="2"/>
        <v>1.44115E+23</v>
      </c>
      <c r="M37" s="114"/>
      <c r="N37" s="114"/>
      <c r="O37" s="121">
        <v>28.0</v>
      </c>
      <c r="P37" s="42">
        <f t="shared" si="3"/>
        <v>1.11759E+26</v>
      </c>
      <c r="Q37" s="114"/>
      <c r="R37" s="114"/>
      <c r="S37" s="121">
        <v>28.0</v>
      </c>
      <c r="T37" s="42">
        <f t="shared" si="4"/>
        <v>2.45638E+29</v>
      </c>
      <c r="U37" s="114"/>
      <c r="V37" s="114"/>
      <c r="W37" s="121">
        <v>28.0</v>
      </c>
      <c r="X37" s="42">
        <f t="shared" si="5"/>
        <v>2.29993E+31</v>
      </c>
      <c r="Y37" s="114"/>
      <c r="Z37" s="114"/>
      <c r="AA37" s="121">
        <v>28.0</v>
      </c>
      <c r="AB37" s="42">
        <f t="shared" si="6"/>
        <v>1.16057E+34</v>
      </c>
      <c r="AC37" s="114"/>
      <c r="AD37" s="114"/>
      <c r="AE37" s="121">
        <v>28.0</v>
      </c>
      <c r="AF37" s="42">
        <f t="shared" si="7"/>
        <v>3.66343E+35</v>
      </c>
      <c r="AG37" s="114"/>
      <c r="AH37" s="114"/>
      <c r="AI37" s="121">
        <v>28.0</v>
      </c>
      <c r="AJ37" s="42">
        <f t="shared" si="8"/>
        <v>1E+28</v>
      </c>
      <c r="AK37" s="114"/>
      <c r="AL37" s="114"/>
      <c r="AM37" s="121">
        <v>28.0</v>
      </c>
      <c r="AN37" s="42">
        <f t="shared" si="9"/>
        <v>1E+28</v>
      </c>
      <c r="AO37" s="114"/>
    </row>
    <row r="38">
      <c r="A38" s="114"/>
      <c r="B38" s="114"/>
      <c r="C38" s="114"/>
      <c r="D38" s="114"/>
      <c r="E38" s="114"/>
      <c r="F38" s="114"/>
      <c r="G38" s="121">
        <v>29.0</v>
      </c>
      <c r="H38" s="42">
        <f t="shared" si="1"/>
        <v>6.86304E+19</v>
      </c>
      <c r="I38" s="114"/>
      <c r="J38" s="114"/>
      <c r="K38" s="121">
        <v>29.0</v>
      </c>
      <c r="L38" s="42">
        <f t="shared" si="2"/>
        <v>5.76461E+23</v>
      </c>
      <c r="M38" s="114"/>
      <c r="N38" s="114"/>
      <c r="O38" s="121">
        <v>29.0</v>
      </c>
      <c r="P38" s="42">
        <f t="shared" si="3"/>
        <v>5.58794E+26</v>
      </c>
      <c r="Q38" s="114"/>
      <c r="R38" s="114"/>
      <c r="S38" s="121">
        <v>29.0</v>
      </c>
      <c r="T38" s="42">
        <f t="shared" si="4"/>
        <v>1.47383E+30</v>
      </c>
      <c r="U38" s="114"/>
      <c r="V38" s="114"/>
      <c r="W38" s="121">
        <v>29.0</v>
      </c>
      <c r="X38" s="42">
        <f t="shared" si="5"/>
        <v>1.60995E+32</v>
      </c>
      <c r="Y38" s="114"/>
      <c r="Z38" s="114"/>
      <c r="AA38" s="121">
        <v>29.0</v>
      </c>
      <c r="AB38" s="42">
        <f t="shared" si="6"/>
        <v>9.28455E+34</v>
      </c>
      <c r="AC38" s="114"/>
      <c r="AD38" s="114"/>
      <c r="AE38" s="121">
        <v>29.0</v>
      </c>
      <c r="AF38" s="42">
        <f t="shared" si="7"/>
        <v>3.29709E+36</v>
      </c>
      <c r="AG38" s="114"/>
      <c r="AH38" s="114"/>
      <c r="AI38" s="121">
        <v>29.0</v>
      </c>
      <c r="AJ38" s="42">
        <f t="shared" si="8"/>
        <v>1E+29</v>
      </c>
      <c r="AK38" s="114"/>
      <c r="AL38" s="114"/>
      <c r="AM38" s="121">
        <v>29.0</v>
      </c>
      <c r="AN38" s="42">
        <f t="shared" si="9"/>
        <v>1E+29</v>
      </c>
      <c r="AO38" s="114"/>
    </row>
    <row r="39">
      <c r="A39" s="114"/>
      <c r="B39" s="114"/>
      <c r="C39" s="114"/>
      <c r="D39" s="114"/>
      <c r="E39" s="114"/>
      <c r="F39" s="114"/>
      <c r="G39" s="121">
        <v>30.0</v>
      </c>
      <c r="H39" s="42">
        <f t="shared" si="1"/>
        <v>2.05891E+20</v>
      </c>
      <c r="I39" s="114"/>
      <c r="J39" s="114"/>
      <c r="K39" s="121">
        <v>30.0</v>
      </c>
      <c r="L39" s="42">
        <f t="shared" si="2"/>
        <v>2.30584E+24</v>
      </c>
      <c r="M39" s="114"/>
      <c r="N39" s="114"/>
      <c r="O39" s="121">
        <v>30.0</v>
      </c>
      <c r="P39" s="42">
        <f t="shared" si="3"/>
        <v>2.79397E+27</v>
      </c>
      <c r="Q39" s="114"/>
      <c r="R39" s="114"/>
      <c r="S39" s="121">
        <v>30.0</v>
      </c>
      <c r="T39" s="42">
        <f t="shared" si="4"/>
        <v>8.84296E+30</v>
      </c>
      <c r="U39" s="114"/>
      <c r="V39" s="114"/>
      <c r="W39" s="121">
        <v>30.0</v>
      </c>
      <c r="X39" s="42">
        <f t="shared" si="5"/>
        <v>1.12697E+33</v>
      </c>
      <c r="Y39" s="114"/>
      <c r="Z39" s="114"/>
      <c r="AA39" s="121">
        <v>30.0</v>
      </c>
      <c r="AB39" s="42">
        <f t="shared" si="6"/>
        <v>7.42764E+35</v>
      </c>
      <c r="AC39" s="114"/>
      <c r="AD39" s="114"/>
      <c r="AE39" s="121">
        <v>30.0</v>
      </c>
      <c r="AF39" s="42">
        <f t="shared" si="7"/>
        <v>2.96738E+37</v>
      </c>
      <c r="AG39" s="114"/>
      <c r="AH39" s="114"/>
      <c r="AI39" s="121">
        <v>30.0</v>
      </c>
      <c r="AJ39" s="42">
        <f t="shared" si="8"/>
        <v>1E+30</v>
      </c>
      <c r="AK39" s="114"/>
      <c r="AL39" s="114"/>
      <c r="AM39" s="121">
        <v>30.0</v>
      </c>
      <c r="AN39" s="42">
        <f t="shared" si="9"/>
        <v>1E+30</v>
      </c>
      <c r="AO39" s="114"/>
    </row>
    <row r="40">
      <c r="A40" s="114"/>
      <c r="B40" s="114"/>
      <c r="C40" s="114"/>
      <c r="D40" s="114"/>
      <c r="E40" s="114"/>
      <c r="F40" s="114"/>
      <c r="G40" s="121">
        <v>31.0</v>
      </c>
      <c r="H40" s="42">
        <f t="shared" si="1"/>
        <v>6.17673E+20</v>
      </c>
      <c r="I40" s="114"/>
      <c r="J40" s="114"/>
      <c r="K40" s="121">
        <v>31.0</v>
      </c>
      <c r="L40" s="42">
        <f t="shared" si="2"/>
        <v>9.22337E+24</v>
      </c>
      <c r="M40" s="114"/>
      <c r="N40" s="114"/>
      <c r="O40" s="121">
        <v>31.0</v>
      </c>
      <c r="P40" s="42">
        <f t="shared" si="3"/>
        <v>1.39698E+28</v>
      </c>
      <c r="Q40" s="114"/>
      <c r="R40" s="114"/>
      <c r="S40" s="121">
        <v>31.0</v>
      </c>
      <c r="T40" s="42">
        <f t="shared" si="4"/>
        <v>5.30577E+31</v>
      </c>
      <c r="U40" s="114"/>
      <c r="V40" s="114"/>
      <c r="W40" s="121">
        <v>31.0</v>
      </c>
      <c r="X40" s="42">
        <f t="shared" si="5"/>
        <v>7.88877E+33</v>
      </c>
      <c r="Y40" s="114"/>
      <c r="Z40" s="114"/>
      <c r="AA40" s="121">
        <v>31.0</v>
      </c>
      <c r="AB40" s="42">
        <f t="shared" si="6"/>
        <v>5.94211E+36</v>
      </c>
      <c r="AC40" s="114"/>
      <c r="AD40" s="114"/>
      <c r="AE40" s="121">
        <v>31.0</v>
      </c>
      <c r="AF40" s="42">
        <f t="shared" si="7"/>
        <v>2.67064E+38</v>
      </c>
      <c r="AG40" s="114"/>
      <c r="AH40" s="114"/>
      <c r="AI40" s="121">
        <v>31.0</v>
      </c>
      <c r="AJ40" s="42">
        <f t="shared" si="8"/>
        <v>1E+31</v>
      </c>
      <c r="AK40" s="114"/>
      <c r="AL40" s="114"/>
      <c r="AM40" s="121">
        <v>31.0</v>
      </c>
      <c r="AN40" s="42">
        <f t="shared" si="9"/>
        <v>1E+31</v>
      </c>
      <c r="AO40" s="114"/>
    </row>
    <row r="41">
      <c r="A41" s="114"/>
      <c r="B41" s="114"/>
      <c r="C41" s="114"/>
      <c r="D41" s="114"/>
      <c r="E41" s="114"/>
      <c r="F41" s="114"/>
      <c r="G41" s="121">
        <v>32.0</v>
      </c>
      <c r="H41" s="42">
        <f t="shared" si="1"/>
        <v>1.85302E+21</v>
      </c>
      <c r="I41" s="114"/>
      <c r="J41" s="114"/>
      <c r="K41" s="121">
        <v>32.0</v>
      </c>
      <c r="L41" s="42">
        <f t="shared" si="2"/>
        <v>3.68935E+25</v>
      </c>
      <c r="M41" s="114"/>
      <c r="N41" s="114"/>
      <c r="O41" s="121">
        <v>32.0</v>
      </c>
      <c r="P41" s="42">
        <f t="shared" si="3"/>
        <v>6.98492E+28</v>
      </c>
      <c r="Q41" s="114"/>
      <c r="R41" s="114"/>
      <c r="S41" s="121">
        <v>32.0</v>
      </c>
      <c r="T41" s="42">
        <f t="shared" si="4"/>
        <v>3.18346E+32</v>
      </c>
      <c r="U41" s="114"/>
      <c r="V41" s="114"/>
      <c r="W41" s="121">
        <v>32.0</v>
      </c>
      <c r="X41" s="42">
        <f t="shared" si="5"/>
        <v>5.52214E+34</v>
      </c>
      <c r="Y41" s="114"/>
      <c r="Z41" s="114"/>
      <c r="AA41" s="121">
        <v>32.0</v>
      </c>
      <c r="AB41" s="42">
        <f t="shared" si="6"/>
        <v>4.75369E+37</v>
      </c>
      <c r="AC41" s="114"/>
      <c r="AD41" s="114"/>
      <c r="AE41" s="121">
        <v>32.0</v>
      </c>
      <c r="AF41" s="42">
        <f t="shared" si="7"/>
        <v>2.40358E+39</v>
      </c>
      <c r="AG41" s="114"/>
      <c r="AH41" s="114"/>
      <c r="AI41" s="121">
        <v>32.0</v>
      </c>
      <c r="AJ41" s="42">
        <f t="shared" si="8"/>
        <v>1E+32</v>
      </c>
      <c r="AK41" s="114"/>
      <c r="AL41" s="114"/>
      <c r="AM41" s="121">
        <v>32.0</v>
      </c>
      <c r="AN41" s="42">
        <f t="shared" si="9"/>
        <v>1E+32</v>
      </c>
      <c r="AO41" s="114"/>
    </row>
    <row r="42">
      <c r="A42" s="114"/>
      <c r="B42" s="114"/>
      <c r="C42" s="114"/>
      <c r="D42" s="114"/>
      <c r="E42" s="114"/>
      <c r="F42" s="114"/>
      <c r="G42" s="121">
        <v>33.0</v>
      </c>
      <c r="H42" s="42">
        <f t="shared" si="1"/>
        <v>5.55906E+21</v>
      </c>
      <c r="I42" s="114"/>
      <c r="J42" s="114"/>
      <c r="K42" s="121">
        <v>33.0</v>
      </c>
      <c r="L42" s="42">
        <f t="shared" si="2"/>
        <v>1.47574E+26</v>
      </c>
      <c r="M42" s="114"/>
      <c r="N42" s="114"/>
      <c r="O42" s="121">
        <v>33.0</v>
      </c>
      <c r="P42" s="42">
        <f t="shared" si="3"/>
        <v>3.49246E+29</v>
      </c>
      <c r="Q42" s="114"/>
      <c r="R42" s="114"/>
      <c r="S42" s="121">
        <v>33.0</v>
      </c>
      <c r="T42" s="42">
        <f t="shared" si="4"/>
        <v>1.91008E+33</v>
      </c>
      <c r="U42" s="114"/>
      <c r="V42" s="114"/>
      <c r="W42" s="121">
        <v>33.0</v>
      </c>
      <c r="X42" s="42">
        <f t="shared" si="5"/>
        <v>3.8655E+35</v>
      </c>
      <c r="Y42" s="114"/>
      <c r="Z42" s="114"/>
      <c r="AA42" s="121">
        <v>33.0</v>
      </c>
      <c r="AB42" s="42">
        <f t="shared" si="6"/>
        <v>3.80295E+38</v>
      </c>
      <c r="AC42" s="114"/>
      <c r="AD42" s="114"/>
      <c r="AE42" s="121">
        <v>33.0</v>
      </c>
      <c r="AF42" s="42">
        <f t="shared" si="7"/>
        <v>2.16322E+40</v>
      </c>
      <c r="AG42" s="114"/>
      <c r="AH42" s="114"/>
      <c r="AI42" s="121">
        <v>33.0</v>
      </c>
      <c r="AJ42" s="42">
        <f t="shared" si="8"/>
        <v>1E+33</v>
      </c>
      <c r="AK42" s="114"/>
      <c r="AL42" s="114"/>
      <c r="AM42" s="121">
        <v>33.0</v>
      </c>
      <c r="AN42" s="42">
        <f t="shared" si="9"/>
        <v>1E+33</v>
      </c>
      <c r="AO42" s="114"/>
    </row>
    <row r="43">
      <c r="A43" s="114"/>
      <c r="B43" s="114"/>
      <c r="C43" s="114"/>
      <c r="D43" s="114"/>
      <c r="E43" s="114"/>
      <c r="F43" s="114"/>
      <c r="G43" s="121">
        <v>34.0</v>
      </c>
      <c r="H43" s="42">
        <f t="shared" si="1"/>
        <v>1.66772E+22</v>
      </c>
      <c r="I43" s="114"/>
      <c r="J43" s="114"/>
      <c r="K43" s="121">
        <v>34.0</v>
      </c>
      <c r="L43" s="42">
        <f t="shared" si="2"/>
        <v>5.90296E+26</v>
      </c>
      <c r="M43" s="114"/>
      <c r="N43" s="114"/>
      <c r="O43" s="121">
        <v>34.0</v>
      </c>
      <c r="P43" s="42">
        <f t="shared" si="3"/>
        <v>1.74623E+30</v>
      </c>
      <c r="Q43" s="114"/>
      <c r="R43" s="114"/>
      <c r="S43" s="121">
        <v>34.0</v>
      </c>
      <c r="T43" s="42">
        <f t="shared" si="4"/>
        <v>1.14605E+34</v>
      </c>
      <c r="U43" s="114"/>
      <c r="V43" s="114"/>
      <c r="W43" s="121">
        <v>34.0</v>
      </c>
      <c r="X43" s="42">
        <f t="shared" si="5"/>
        <v>2.70585E+36</v>
      </c>
      <c r="Y43" s="114"/>
      <c r="Z43" s="114"/>
      <c r="AA43" s="121">
        <v>34.0</v>
      </c>
      <c r="AB43" s="42">
        <f t="shared" si="6"/>
        <v>3.04236E+39</v>
      </c>
      <c r="AC43" s="114"/>
      <c r="AD43" s="114"/>
      <c r="AE43" s="121">
        <v>34.0</v>
      </c>
      <c r="AF43" s="42">
        <f t="shared" si="7"/>
        <v>1.9469E+41</v>
      </c>
      <c r="AG43" s="114"/>
      <c r="AH43" s="114"/>
      <c r="AI43" s="121">
        <v>34.0</v>
      </c>
      <c r="AJ43" s="42">
        <f t="shared" si="8"/>
        <v>1E+34</v>
      </c>
      <c r="AK43" s="114"/>
      <c r="AL43" s="114"/>
      <c r="AM43" s="121">
        <v>34.0</v>
      </c>
      <c r="AN43" s="42">
        <f t="shared" si="9"/>
        <v>1E+34</v>
      </c>
      <c r="AO43" s="114"/>
    </row>
    <row r="44">
      <c r="A44" s="114"/>
      <c r="B44" s="114"/>
      <c r="C44" s="114"/>
      <c r="D44" s="114"/>
      <c r="E44" s="114"/>
      <c r="F44" s="114"/>
      <c r="G44" s="121">
        <v>35.0</v>
      </c>
      <c r="H44" s="42">
        <f t="shared" si="1"/>
        <v>5.00315E+22</v>
      </c>
      <c r="I44" s="114"/>
      <c r="J44" s="114"/>
      <c r="K44" s="121">
        <v>35.0</v>
      </c>
      <c r="L44" s="42">
        <f t="shared" si="2"/>
        <v>2.36118E+27</v>
      </c>
      <c r="M44" s="114"/>
      <c r="N44" s="114"/>
      <c r="O44" s="121">
        <v>35.0</v>
      </c>
      <c r="P44" s="42">
        <f t="shared" si="3"/>
        <v>8.73115E+30</v>
      </c>
      <c r="Q44" s="114"/>
      <c r="R44" s="114"/>
      <c r="S44" s="121">
        <v>35.0</v>
      </c>
      <c r="T44" s="42">
        <f t="shared" si="4"/>
        <v>6.87628E+34</v>
      </c>
      <c r="U44" s="114"/>
      <c r="V44" s="114"/>
      <c r="W44" s="121">
        <v>35.0</v>
      </c>
      <c r="X44" s="42">
        <f t="shared" si="5"/>
        <v>1.89409E+37</v>
      </c>
      <c r="Y44" s="114"/>
      <c r="Z44" s="114"/>
      <c r="AA44" s="121">
        <v>35.0</v>
      </c>
      <c r="AB44" s="42">
        <f t="shared" si="6"/>
        <v>2.43389E+40</v>
      </c>
      <c r="AC44" s="114"/>
      <c r="AD44" s="114"/>
      <c r="AE44" s="121">
        <v>35.0</v>
      </c>
      <c r="AF44" s="42">
        <f t="shared" si="7"/>
        <v>1.75221E+42</v>
      </c>
      <c r="AG44" s="114"/>
      <c r="AH44" s="114"/>
      <c r="AI44" s="121">
        <v>35.0</v>
      </c>
      <c r="AJ44" s="42">
        <f t="shared" si="8"/>
        <v>1E+35</v>
      </c>
      <c r="AK44" s="114"/>
      <c r="AL44" s="114"/>
      <c r="AM44" s="121">
        <v>35.0</v>
      </c>
      <c r="AN44" s="42">
        <f t="shared" si="9"/>
        <v>1E+35</v>
      </c>
      <c r="AO44" s="114"/>
    </row>
    <row r="45">
      <c r="A45" s="114"/>
      <c r="B45" s="114"/>
      <c r="C45" s="114"/>
      <c r="D45" s="114"/>
      <c r="E45" s="114"/>
      <c r="F45" s="114"/>
      <c r="G45" s="121">
        <v>36.0</v>
      </c>
      <c r="H45" s="42">
        <f t="shared" si="1"/>
        <v>1.50095E+23</v>
      </c>
      <c r="I45" s="114"/>
      <c r="J45" s="114"/>
      <c r="K45" s="121">
        <v>36.0</v>
      </c>
      <c r="L45" s="42">
        <f t="shared" si="2"/>
        <v>9.44473E+27</v>
      </c>
      <c r="M45" s="114"/>
      <c r="N45" s="114"/>
      <c r="O45" s="121">
        <v>36.0</v>
      </c>
      <c r="P45" s="42">
        <f t="shared" si="3"/>
        <v>4.36557E+31</v>
      </c>
      <c r="Q45" s="114"/>
      <c r="R45" s="114"/>
      <c r="S45" s="121">
        <v>36.0</v>
      </c>
      <c r="T45" s="42">
        <f t="shared" si="4"/>
        <v>4.12577E+35</v>
      </c>
      <c r="U45" s="114"/>
      <c r="V45" s="114"/>
      <c r="W45" s="121">
        <v>36.0</v>
      </c>
      <c r="X45" s="42">
        <f t="shared" si="5"/>
        <v>1.32587E+38</v>
      </c>
      <c r="Y45" s="114"/>
      <c r="Z45" s="114"/>
      <c r="AA45" s="121">
        <v>36.0</v>
      </c>
      <c r="AB45" s="42">
        <f t="shared" si="6"/>
        <v>1.94711E+41</v>
      </c>
      <c r="AC45" s="114"/>
      <c r="AD45" s="114"/>
      <c r="AE45" s="121">
        <v>36.0</v>
      </c>
      <c r="AF45" s="42">
        <f t="shared" si="7"/>
        <v>1.57699E+43</v>
      </c>
      <c r="AG45" s="114"/>
      <c r="AH45" s="114"/>
      <c r="AI45" s="121">
        <v>36.0</v>
      </c>
      <c r="AJ45" s="42">
        <f t="shared" si="8"/>
        <v>1E+36</v>
      </c>
      <c r="AK45" s="114"/>
      <c r="AL45" s="114"/>
      <c r="AM45" s="121">
        <v>36.0</v>
      </c>
      <c r="AN45" s="42">
        <f t="shared" si="9"/>
        <v>1E+36</v>
      </c>
      <c r="AO45" s="114"/>
    </row>
    <row r="46">
      <c r="A46" s="114"/>
      <c r="B46" s="114"/>
      <c r="C46" s="114"/>
      <c r="D46" s="114"/>
      <c r="E46" s="114"/>
      <c r="F46" s="114"/>
      <c r="G46" s="121">
        <v>37.0</v>
      </c>
      <c r="H46" s="42">
        <f t="shared" si="1"/>
        <v>4.50284E+23</v>
      </c>
      <c r="I46" s="114"/>
      <c r="J46" s="114"/>
      <c r="K46" s="121">
        <v>37.0</v>
      </c>
      <c r="L46" s="42">
        <f t="shared" si="2"/>
        <v>3.77789E+28</v>
      </c>
      <c r="M46" s="114"/>
      <c r="N46" s="114"/>
      <c r="O46" s="121">
        <v>37.0</v>
      </c>
      <c r="P46" s="42">
        <f t="shared" si="3"/>
        <v>2.18279E+32</v>
      </c>
      <c r="Q46" s="114"/>
      <c r="R46" s="114"/>
      <c r="S46" s="121">
        <v>37.0</v>
      </c>
      <c r="T46" s="42">
        <f t="shared" si="4"/>
        <v>2.47546E+36</v>
      </c>
      <c r="U46" s="114"/>
      <c r="V46" s="114"/>
      <c r="W46" s="121">
        <v>37.0</v>
      </c>
      <c r="X46" s="42">
        <f t="shared" si="5"/>
        <v>9.28106E+38</v>
      </c>
      <c r="Y46" s="114"/>
      <c r="Z46" s="114"/>
      <c r="AA46" s="121">
        <v>37.0</v>
      </c>
      <c r="AB46" s="42">
        <f t="shared" si="6"/>
        <v>1.55769E+42</v>
      </c>
      <c r="AC46" s="114"/>
      <c r="AD46" s="114"/>
      <c r="AE46" s="121">
        <v>37.0</v>
      </c>
      <c r="AF46" s="42">
        <f t="shared" si="7"/>
        <v>1.41929E+44</v>
      </c>
      <c r="AG46" s="114"/>
      <c r="AH46" s="114"/>
      <c r="AI46" s="121">
        <v>37.0</v>
      </c>
      <c r="AJ46" s="42">
        <f t="shared" si="8"/>
        <v>1E+37</v>
      </c>
      <c r="AK46" s="114"/>
      <c r="AL46" s="114"/>
      <c r="AM46" s="121">
        <v>37.0</v>
      </c>
      <c r="AN46" s="42">
        <f t="shared" si="9"/>
        <v>1E+37</v>
      </c>
      <c r="AO46" s="114"/>
    </row>
    <row r="47">
      <c r="A47" s="114"/>
      <c r="B47" s="114"/>
      <c r="C47" s="114"/>
      <c r="D47" s="114"/>
      <c r="E47" s="114"/>
      <c r="F47" s="114"/>
      <c r="G47" s="121">
        <v>38.0</v>
      </c>
      <c r="H47" s="42">
        <f t="shared" si="1"/>
        <v>1.35085E+24</v>
      </c>
      <c r="I47" s="114"/>
      <c r="J47" s="114"/>
      <c r="K47" s="121">
        <v>38.0</v>
      </c>
      <c r="L47" s="42">
        <f t="shared" si="2"/>
        <v>1.51116E+29</v>
      </c>
      <c r="M47" s="114"/>
      <c r="N47" s="114"/>
      <c r="O47" s="121">
        <v>38.0</v>
      </c>
      <c r="P47" s="42">
        <f t="shared" si="3"/>
        <v>1.09139E+33</v>
      </c>
      <c r="Q47" s="114"/>
      <c r="R47" s="114"/>
      <c r="S47" s="121">
        <v>38.0</v>
      </c>
      <c r="T47" s="42">
        <f t="shared" si="4"/>
        <v>1.48528E+37</v>
      </c>
      <c r="U47" s="114"/>
      <c r="V47" s="114"/>
      <c r="W47" s="121">
        <v>38.0</v>
      </c>
      <c r="X47" s="42">
        <f t="shared" si="5"/>
        <v>6.49674E+39</v>
      </c>
      <c r="Y47" s="114"/>
      <c r="Z47" s="114"/>
      <c r="AA47" s="121">
        <v>38.0</v>
      </c>
      <c r="AB47" s="42">
        <f t="shared" si="6"/>
        <v>1.24615E+43</v>
      </c>
      <c r="AC47" s="114"/>
      <c r="AD47" s="114"/>
      <c r="AE47" s="121">
        <v>38.0</v>
      </c>
      <c r="AF47" s="42">
        <f t="shared" si="7"/>
        <v>1.27736E+45</v>
      </c>
      <c r="AG47" s="114"/>
      <c r="AH47" s="114"/>
      <c r="AI47" s="121">
        <v>38.0</v>
      </c>
      <c r="AJ47" s="42">
        <f t="shared" si="8"/>
        <v>1E+38</v>
      </c>
      <c r="AK47" s="114"/>
      <c r="AL47" s="114"/>
      <c r="AM47" s="121">
        <v>38.0</v>
      </c>
      <c r="AN47" s="42">
        <f t="shared" si="9"/>
        <v>1E+38</v>
      </c>
      <c r="AO47" s="114"/>
    </row>
    <row r="48">
      <c r="A48" s="114"/>
      <c r="B48" s="114"/>
      <c r="C48" s="114"/>
      <c r="D48" s="114"/>
      <c r="E48" s="114"/>
      <c r="F48" s="114"/>
      <c r="G48" s="121">
        <v>39.0</v>
      </c>
      <c r="H48" s="42">
        <f t="shared" si="1"/>
        <v>4.05256E+24</v>
      </c>
      <c r="I48" s="114"/>
      <c r="J48" s="114"/>
      <c r="K48" s="121">
        <v>39.0</v>
      </c>
      <c r="L48" s="42">
        <f t="shared" si="2"/>
        <v>6.04463E+29</v>
      </c>
      <c r="M48" s="114"/>
      <c r="N48" s="114"/>
      <c r="O48" s="121">
        <v>39.0</v>
      </c>
      <c r="P48" s="42">
        <f t="shared" si="3"/>
        <v>5.45697E+33</v>
      </c>
      <c r="Q48" s="114"/>
      <c r="R48" s="114"/>
      <c r="S48" s="121">
        <v>39.0</v>
      </c>
      <c r="T48" s="42">
        <f t="shared" si="4"/>
        <v>8.91166E+37</v>
      </c>
      <c r="U48" s="114"/>
      <c r="V48" s="114"/>
      <c r="W48" s="121">
        <v>39.0</v>
      </c>
      <c r="X48" s="42">
        <f t="shared" si="5"/>
        <v>4.54772E+40</v>
      </c>
      <c r="Y48" s="114"/>
      <c r="Z48" s="114"/>
      <c r="AA48" s="121">
        <v>39.0</v>
      </c>
      <c r="AB48" s="42">
        <f t="shared" si="6"/>
        <v>9.96921E+43</v>
      </c>
      <c r="AC48" s="114"/>
      <c r="AD48" s="114"/>
      <c r="AE48" s="121">
        <v>39.0</v>
      </c>
      <c r="AF48" s="42">
        <f t="shared" si="7"/>
        <v>1.14962E+46</v>
      </c>
      <c r="AG48" s="114"/>
      <c r="AH48" s="114"/>
      <c r="AI48" s="121">
        <v>39.0</v>
      </c>
      <c r="AJ48" s="42">
        <f t="shared" si="8"/>
        <v>1E+39</v>
      </c>
      <c r="AK48" s="114"/>
      <c r="AL48" s="114"/>
      <c r="AM48" s="121">
        <v>39.0</v>
      </c>
      <c r="AN48" s="42">
        <f t="shared" si="9"/>
        <v>1E+39</v>
      </c>
      <c r="AO48" s="114"/>
    </row>
    <row r="49">
      <c r="A49" s="114"/>
      <c r="B49" s="114"/>
      <c r="C49" s="114"/>
      <c r="D49" s="114"/>
      <c r="E49" s="114"/>
      <c r="F49" s="114"/>
      <c r="G49" s="121">
        <v>40.0</v>
      </c>
      <c r="H49" s="42">
        <f t="shared" si="1"/>
        <v>1.21577E+25</v>
      </c>
      <c r="I49" s="114"/>
      <c r="J49" s="114"/>
      <c r="K49" s="121">
        <v>40.0</v>
      </c>
      <c r="L49" s="42">
        <f t="shared" si="2"/>
        <v>2.41785E+30</v>
      </c>
      <c r="M49" s="114"/>
      <c r="N49" s="114"/>
      <c r="O49" s="121">
        <v>40.0</v>
      </c>
      <c r="P49" s="42">
        <f t="shared" si="3"/>
        <v>2.72848E+34</v>
      </c>
      <c r="Q49" s="114"/>
      <c r="R49" s="114"/>
      <c r="S49" s="121">
        <v>40.0</v>
      </c>
      <c r="T49" s="42">
        <f t="shared" si="4"/>
        <v>5.347E+38</v>
      </c>
      <c r="U49" s="114"/>
      <c r="V49" s="114"/>
      <c r="W49" s="121">
        <v>40.0</v>
      </c>
      <c r="X49" s="42">
        <f t="shared" si="5"/>
        <v>3.1834E+41</v>
      </c>
      <c r="Y49" s="114"/>
      <c r="Z49" s="114"/>
      <c r="AA49" s="121">
        <v>40.0</v>
      </c>
      <c r="AB49" s="42">
        <f t="shared" si="6"/>
        <v>7.97537E+44</v>
      </c>
      <c r="AC49" s="114"/>
      <c r="AD49" s="114"/>
      <c r="AE49" s="121">
        <v>40.0</v>
      </c>
      <c r="AF49" s="42">
        <f t="shared" si="7"/>
        <v>1.03466E+47</v>
      </c>
      <c r="AG49" s="114"/>
      <c r="AH49" s="114"/>
      <c r="AI49" s="121">
        <v>40.0</v>
      </c>
      <c r="AJ49" s="42">
        <f t="shared" si="8"/>
        <v>1E+40</v>
      </c>
      <c r="AK49" s="114"/>
      <c r="AL49" s="114"/>
      <c r="AM49" s="121">
        <v>40.0</v>
      </c>
      <c r="AN49" s="42">
        <f t="shared" si="9"/>
        <v>1E+40</v>
      </c>
      <c r="AO49" s="114"/>
    </row>
    <row r="50">
      <c r="A50" s="114"/>
      <c r="B50" s="114"/>
      <c r="C50" s="114"/>
      <c r="D50" s="114"/>
      <c r="E50" s="114"/>
      <c r="F50" s="114"/>
      <c r="G50" s="121">
        <v>41.0</v>
      </c>
      <c r="H50" s="42">
        <f t="shared" si="1"/>
        <v>3.6473E+25</v>
      </c>
      <c r="I50" s="114"/>
      <c r="J50" s="114"/>
      <c r="K50" s="121">
        <v>41.0</v>
      </c>
      <c r="L50" s="42">
        <f t="shared" si="2"/>
        <v>9.67141E+30</v>
      </c>
      <c r="M50" s="114"/>
      <c r="N50" s="114"/>
      <c r="O50" s="121">
        <v>41.0</v>
      </c>
      <c r="P50" s="42">
        <f t="shared" si="3"/>
        <v>1.36424E+35</v>
      </c>
      <c r="Q50" s="114"/>
      <c r="R50" s="114"/>
      <c r="S50" s="121">
        <v>41.0</v>
      </c>
      <c r="T50" s="42">
        <f t="shared" si="4"/>
        <v>3.2082E+39</v>
      </c>
      <c r="U50" s="114"/>
      <c r="V50" s="114"/>
      <c r="W50" s="121">
        <v>41.0</v>
      </c>
      <c r="X50" s="42">
        <f t="shared" si="5"/>
        <v>2.22838E+42</v>
      </c>
      <c r="Y50" s="114"/>
      <c r="Z50" s="114"/>
      <c r="AA50" s="121">
        <v>41.0</v>
      </c>
      <c r="AB50" s="42">
        <f t="shared" si="6"/>
        <v>6.38029E+45</v>
      </c>
      <c r="AC50" s="114"/>
      <c r="AD50" s="114"/>
      <c r="AE50" s="121">
        <v>41.0</v>
      </c>
      <c r="AF50" s="42">
        <f t="shared" si="7"/>
        <v>9.31196E+47</v>
      </c>
      <c r="AG50" s="114"/>
      <c r="AH50" s="114"/>
      <c r="AI50" s="121">
        <v>41.0</v>
      </c>
      <c r="AJ50" s="42">
        <f t="shared" si="8"/>
        <v>1E+41</v>
      </c>
      <c r="AK50" s="114"/>
      <c r="AL50" s="114"/>
      <c r="AM50" s="121">
        <v>41.0</v>
      </c>
      <c r="AN50" s="42">
        <f t="shared" si="9"/>
        <v>1E+41</v>
      </c>
      <c r="AO50" s="114"/>
    </row>
    <row r="51">
      <c r="A51" s="114"/>
      <c r="B51" s="114"/>
      <c r="C51" s="114"/>
      <c r="D51" s="114"/>
      <c r="E51" s="114"/>
      <c r="F51" s="114"/>
      <c r="G51" s="121">
        <v>42.0</v>
      </c>
      <c r="H51" s="42">
        <f t="shared" si="1"/>
        <v>1.09419E+26</v>
      </c>
      <c r="I51" s="114"/>
      <c r="J51" s="114"/>
      <c r="K51" s="121">
        <v>42.0</v>
      </c>
      <c r="L51" s="42">
        <f t="shared" si="2"/>
        <v>3.86856E+31</v>
      </c>
      <c r="M51" s="114"/>
      <c r="N51" s="114"/>
      <c r="O51" s="121">
        <v>42.0</v>
      </c>
      <c r="P51" s="42">
        <f t="shared" si="3"/>
        <v>6.82121E+35</v>
      </c>
      <c r="Q51" s="114"/>
      <c r="R51" s="114"/>
      <c r="S51" s="121">
        <v>42.0</v>
      </c>
      <c r="T51" s="42">
        <f t="shared" si="4"/>
        <v>1.92492E+40</v>
      </c>
      <c r="U51" s="114"/>
      <c r="V51" s="114"/>
      <c r="W51" s="121">
        <v>42.0</v>
      </c>
      <c r="X51" s="42">
        <f t="shared" si="5"/>
        <v>1.55987E+43</v>
      </c>
      <c r="Y51" s="114"/>
      <c r="Z51" s="114"/>
      <c r="AA51" s="121">
        <v>42.0</v>
      </c>
      <c r="AB51" s="42">
        <f t="shared" si="6"/>
        <v>5.10424E+46</v>
      </c>
      <c r="AC51" s="114"/>
      <c r="AD51" s="114"/>
      <c r="AE51" s="121">
        <v>42.0</v>
      </c>
      <c r="AF51" s="42">
        <f t="shared" si="7"/>
        <v>8.38076E+48</v>
      </c>
      <c r="AG51" s="114"/>
      <c r="AH51" s="114"/>
      <c r="AI51" s="121">
        <v>42.0</v>
      </c>
      <c r="AJ51" s="42">
        <f t="shared" si="8"/>
        <v>1E+42</v>
      </c>
      <c r="AK51" s="114"/>
      <c r="AL51" s="114"/>
      <c r="AM51" s="121">
        <v>42.0</v>
      </c>
      <c r="AN51" s="42">
        <f t="shared" si="9"/>
        <v>1E+42</v>
      </c>
      <c r="AO51" s="114"/>
    </row>
    <row r="52">
      <c r="A52" s="114"/>
      <c r="B52" s="114"/>
      <c r="C52" s="114"/>
      <c r="D52" s="114"/>
      <c r="E52" s="114"/>
      <c r="F52" s="114"/>
      <c r="G52" s="121">
        <v>43.0</v>
      </c>
      <c r="H52" s="42">
        <f t="shared" si="1"/>
        <v>3.28257E+26</v>
      </c>
      <c r="I52" s="114"/>
      <c r="J52" s="114"/>
      <c r="K52" s="121">
        <v>43.0</v>
      </c>
      <c r="L52" s="42">
        <f t="shared" si="2"/>
        <v>1.54743E+32</v>
      </c>
      <c r="M52" s="114"/>
      <c r="N52" s="114"/>
      <c r="O52" s="121">
        <v>43.0</v>
      </c>
      <c r="P52" s="42">
        <f t="shared" si="3"/>
        <v>3.41061E+36</v>
      </c>
      <c r="Q52" s="114"/>
      <c r="R52" s="114"/>
      <c r="S52" s="121">
        <v>43.0</v>
      </c>
      <c r="T52" s="42">
        <f t="shared" si="4"/>
        <v>1.15495E+41</v>
      </c>
      <c r="U52" s="114"/>
      <c r="V52" s="114"/>
      <c r="W52" s="121">
        <v>43.0</v>
      </c>
      <c r="X52" s="42">
        <f t="shared" si="5"/>
        <v>1.09191E+44</v>
      </c>
      <c r="Y52" s="114"/>
      <c r="Z52" s="114"/>
      <c r="AA52" s="121">
        <v>43.0</v>
      </c>
      <c r="AB52" s="42">
        <f t="shared" si="6"/>
        <v>4.08339E+47</v>
      </c>
      <c r="AC52" s="114"/>
      <c r="AD52" s="114"/>
      <c r="AE52" s="121">
        <v>43.0</v>
      </c>
      <c r="AF52" s="42">
        <f t="shared" si="7"/>
        <v>7.54268E+49</v>
      </c>
      <c r="AG52" s="114"/>
      <c r="AH52" s="114"/>
      <c r="AI52" s="121">
        <v>43.0</v>
      </c>
      <c r="AJ52" s="42">
        <f t="shared" si="8"/>
        <v>1E+43</v>
      </c>
      <c r="AK52" s="114"/>
      <c r="AL52" s="114"/>
      <c r="AM52" s="121">
        <v>43.0</v>
      </c>
      <c r="AN52" s="42">
        <f t="shared" si="9"/>
        <v>1E+43</v>
      </c>
      <c r="AO52" s="114"/>
    </row>
    <row r="53">
      <c r="A53" s="114"/>
      <c r="B53" s="114"/>
      <c r="C53" s="114"/>
      <c r="D53" s="114"/>
      <c r="E53" s="114"/>
      <c r="F53" s="114"/>
      <c r="G53" s="121">
        <v>44.0</v>
      </c>
      <c r="H53" s="42">
        <f t="shared" si="1"/>
        <v>9.84771E+26</v>
      </c>
      <c r="I53" s="114"/>
      <c r="J53" s="114"/>
      <c r="K53" s="121">
        <v>44.0</v>
      </c>
      <c r="L53" s="42">
        <f t="shared" si="2"/>
        <v>6.1897E+32</v>
      </c>
      <c r="M53" s="114"/>
      <c r="N53" s="114"/>
      <c r="O53" s="121">
        <v>44.0</v>
      </c>
      <c r="P53" s="42">
        <f t="shared" si="3"/>
        <v>1.7053E+37</v>
      </c>
      <c r="Q53" s="114"/>
      <c r="R53" s="114"/>
      <c r="S53" s="121">
        <v>44.0</v>
      </c>
      <c r="T53" s="42">
        <f t="shared" si="4"/>
        <v>6.92971E+41</v>
      </c>
      <c r="U53" s="114"/>
      <c r="V53" s="114"/>
      <c r="W53" s="121">
        <v>44.0</v>
      </c>
      <c r="X53" s="42">
        <f t="shared" si="5"/>
        <v>7.64335E+44</v>
      </c>
      <c r="Y53" s="114"/>
      <c r="Z53" s="114"/>
      <c r="AA53" s="121">
        <v>44.0</v>
      </c>
      <c r="AB53" s="42">
        <f t="shared" si="6"/>
        <v>3.26671E+48</v>
      </c>
      <c r="AC53" s="114"/>
      <c r="AD53" s="114"/>
      <c r="AE53" s="121">
        <v>44.0</v>
      </c>
      <c r="AF53" s="42">
        <f t="shared" si="7"/>
        <v>6.78842E+50</v>
      </c>
      <c r="AG53" s="114"/>
      <c r="AH53" s="114"/>
      <c r="AI53" s="121">
        <v>44.0</v>
      </c>
      <c r="AJ53" s="42">
        <f t="shared" si="8"/>
        <v>1E+44</v>
      </c>
      <c r="AK53" s="114"/>
      <c r="AL53" s="114"/>
      <c r="AM53" s="121">
        <v>44.0</v>
      </c>
      <c r="AN53" s="42">
        <f t="shared" si="9"/>
        <v>1E+44</v>
      </c>
      <c r="AO53" s="114"/>
    </row>
    <row r="54">
      <c r="A54" s="114"/>
      <c r="B54" s="114"/>
      <c r="C54" s="114"/>
      <c r="D54" s="114"/>
      <c r="E54" s="114"/>
      <c r="F54" s="114"/>
      <c r="G54" s="121">
        <v>45.0</v>
      </c>
      <c r="H54" s="42">
        <f t="shared" si="1"/>
        <v>2.95431E+27</v>
      </c>
      <c r="I54" s="114"/>
      <c r="J54" s="114"/>
      <c r="K54" s="121">
        <v>45.0</v>
      </c>
      <c r="L54" s="42">
        <f t="shared" si="2"/>
        <v>2.47588E+33</v>
      </c>
      <c r="M54" s="114"/>
      <c r="N54" s="114"/>
      <c r="O54" s="121">
        <v>45.0</v>
      </c>
      <c r="P54" s="42">
        <f t="shared" si="3"/>
        <v>8.52651E+37</v>
      </c>
      <c r="Q54" s="114"/>
      <c r="R54" s="114"/>
      <c r="S54" s="121">
        <v>45.0</v>
      </c>
      <c r="T54" s="42">
        <f t="shared" si="4"/>
        <v>4.15783E+42</v>
      </c>
      <c r="U54" s="114"/>
      <c r="V54" s="114"/>
      <c r="W54" s="121">
        <v>45.0</v>
      </c>
      <c r="X54" s="42">
        <f t="shared" si="5"/>
        <v>5.35035E+45</v>
      </c>
      <c r="Y54" s="114"/>
      <c r="Z54" s="114"/>
      <c r="AA54" s="121">
        <v>45.0</v>
      </c>
      <c r="AB54" s="42">
        <f t="shared" si="6"/>
        <v>2.61337E+49</v>
      </c>
      <c r="AC54" s="114"/>
      <c r="AD54" s="114"/>
      <c r="AE54" s="121">
        <v>45.0</v>
      </c>
      <c r="AF54" s="42">
        <f t="shared" si="7"/>
        <v>6.10957E+51</v>
      </c>
      <c r="AG54" s="114"/>
      <c r="AH54" s="114"/>
      <c r="AI54" s="121">
        <v>45.0</v>
      </c>
      <c r="AJ54" s="42">
        <f t="shared" si="8"/>
        <v>1E+45</v>
      </c>
      <c r="AK54" s="114"/>
      <c r="AL54" s="114"/>
      <c r="AM54" s="121">
        <v>45.0</v>
      </c>
      <c r="AN54" s="42">
        <f t="shared" si="9"/>
        <v>1E+45</v>
      </c>
      <c r="AO54" s="114"/>
    </row>
    <row r="55">
      <c r="A55" s="114"/>
      <c r="B55" s="114"/>
      <c r="C55" s="114"/>
      <c r="D55" s="114"/>
      <c r="E55" s="114"/>
      <c r="F55" s="114"/>
      <c r="G55" s="121">
        <v>46.0</v>
      </c>
      <c r="H55" s="42">
        <f t="shared" si="1"/>
        <v>8.86294E+27</v>
      </c>
      <c r="I55" s="114"/>
      <c r="J55" s="114"/>
      <c r="K55" s="121">
        <v>46.0</v>
      </c>
      <c r="L55" s="42">
        <f t="shared" si="2"/>
        <v>9.90352E+33</v>
      </c>
      <c r="M55" s="114"/>
      <c r="N55" s="114"/>
      <c r="O55" s="121">
        <v>46.0</v>
      </c>
      <c r="P55" s="42">
        <f t="shared" si="3"/>
        <v>4.26326E+38</v>
      </c>
      <c r="Q55" s="114"/>
      <c r="R55" s="114"/>
      <c r="S55" s="121">
        <v>46.0</v>
      </c>
      <c r="T55" s="42">
        <f t="shared" si="4"/>
        <v>2.4947E+43</v>
      </c>
      <c r="U55" s="114"/>
      <c r="V55" s="114"/>
      <c r="W55" s="121">
        <v>46.0</v>
      </c>
      <c r="X55" s="42">
        <f t="shared" si="5"/>
        <v>3.74524E+46</v>
      </c>
      <c r="Y55" s="114"/>
      <c r="Z55" s="114"/>
      <c r="AA55" s="121">
        <v>46.0</v>
      </c>
      <c r="AB55" s="42">
        <f t="shared" si="6"/>
        <v>2.09069E+50</v>
      </c>
      <c r="AC55" s="114"/>
      <c r="AD55" s="114"/>
      <c r="AE55" s="121">
        <v>46.0</v>
      </c>
      <c r="AF55" s="42">
        <f t="shared" si="7"/>
        <v>5.49862E+52</v>
      </c>
      <c r="AG55" s="114"/>
      <c r="AH55" s="114"/>
      <c r="AI55" s="121">
        <v>46.0</v>
      </c>
      <c r="AJ55" s="42">
        <f t="shared" si="8"/>
        <v>1E+46</v>
      </c>
      <c r="AK55" s="114"/>
      <c r="AL55" s="114"/>
      <c r="AM55" s="121">
        <v>46.0</v>
      </c>
      <c r="AN55" s="42">
        <f t="shared" si="9"/>
        <v>1E+46</v>
      </c>
      <c r="AO55" s="114"/>
    </row>
    <row r="56">
      <c r="A56" s="114"/>
      <c r="B56" s="114"/>
      <c r="C56" s="114"/>
      <c r="D56" s="114"/>
      <c r="E56" s="114"/>
      <c r="F56" s="114"/>
      <c r="G56" s="121">
        <v>47.0</v>
      </c>
      <c r="H56" s="42">
        <f t="shared" si="1"/>
        <v>2.65888E+28</v>
      </c>
      <c r="I56" s="114"/>
      <c r="J56" s="114"/>
      <c r="K56" s="121">
        <v>47.0</v>
      </c>
      <c r="L56" s="42">
        <f t="shared" si="2"/>
        <v>3.96141E+34</v>
      </c>
      <c r="M56" s="114"/>
      <c r="N56" s="114"/>
      <c r="O56" s="121">
        <v>47.0</v>
      </c>
      <c r="P56" s="42">
        <f t="shared" si="3"/>
        <v>2.13163E+39</v>
      </c>
      <c r="Q56" s="114"/>
      <c r="R56" s="114"/>
      <c r="S56" s="121">
        <v>47.0</v>
      </c>
      <c r="T56" s="42">
        <f t="shared" si="4"/>
        <v>1.49682E+44</v>
      </c>
      <c r="U56" s="114"/>
      <c r="V56" s="114"/>
      <c r="W56" s="121">
        <v>47.0</v>
      </c>
      <c r="X56" s="42">
        <f t="shared" si="5"/>
        <v>2.62167E+47</v>
      </c>
      <c r="Y56" s="114"/>
      <c r="Z56" s="114"/>
      <c r="AA56" s="121">
        <v>47.0</v>
      </c>
      <c r="AB56" s="42">
        <f t="shared" si="6"/>
        <v>1.67256E+51</v>
      </c>
      <c r="AC56" s="114"/>
      <c r="AD56" s="114"/>
      <c r="AE56" s="121">
        <v>47.0</v>
      </c>
      <c r="AF56" s="42">
        <f t="shared" si="7"/>
        <v>4.94876E+53</v>
      </c>
      <c r="AG56" s="114"/>
      <c r="AH56" s="114"/>
      <c r="AI56" s="121">
        <v>47.0</v>
      </c>
      <c r="AJ56" s="42">
        <f t="shared" si="8"/>
        <v>1E+47</v>
      </c>
      <c r="AK56" s="114"/>
      <c r="AL56" s="114"/>
      <c r="AM56" s="121">
        <v>47.0</v>
      </c>
      <c r="AN56" s="42">
        <f t="shared" si="9"/>
        <v>1E+47</v>
      </c>
      <c r="AO56" s="114"/>
    </row>
    <row r="57">
      <c r="A57" s="114"/>
      <c r="B57" s="114"/>
      <c r="C57" s="114"/>
      <c r="D57" s="114"/>
      <c r="E57" s="114"/>
      <c r="F57" s="114"/>
      <c r="G57" s="121">
        <v>48.0</v>
      </c>
      <c r="H57" s="42">
        <f t="shared" si="1"/>
        <v>7.97664E+28</v>
      </c>
      <c r="I57" s="114"/>
      <c r="J57" s="114"/>
      <c r="K57" s="121">
        <v>48.0</v>
      </c>
      <c r="L57" s="42">
        <f t="shared" si="2"/>
        <v>1.58456E+35</v>
      </c>
      <c r="M57" s="114"/>
      <c r="N57" s="114"/>
      <c r="O57" s="121">
        <v>48.0</v>
      </c>
      <c r="P57" s="42">
        <f t="shared" si="3"/>
        <v>1.06581E+40</v>
      </c>
      <c r="Q57" s="114"/>
      <c r="R57" s="114"/>
      <c r="S57" s="121">
        <v>48.0</v>
      </c>
      <c r="T57" s="42">
        <f t="shared" si="4"/>
        <v>8.9809E+44</v>
      </c>
      <c r="U57" s="114"/>
      <c r="V57" s="114"/>
      <c r="W57" s="121">
        <v>48.0</v>
      </c>
      <c r="X57" s="42">
        <f t="shared" si="5"/>
        <v>1.83517E+48</v>
      </c>
      <c r="Y57" s="114"/>
      <c r="Z57" s="114"/>
      <c r="AA57" s="121">
        <v>48.0</v>
      </c>
      <c r="AB57" s="42">
        <f t="shared" si="6"/>
        <v>1.33804E+52</v>
      </c>
      <c r="AC57" s="114"/>
      <c r="AD57" s="114"/>
      <c r="AE57" s="121">
        <v>48.0</v>
      </c>
      <c r="AF57" s="42">
        <f t="shared" si="7"/>
        <v>4.45388E+54</v>
      </c>
      <c r="AG57" s="114"/>
      <c r="AH57" s="114"/>
      <c r="AI57" s="121">
        <v>48.0</v>
      </c>
      <c r="AJ57" s="42">
        <f t="shared" si="8"/>
        <v>1E+48</v>
      </c>
      <c r="AK57" s="114"/>
      <c r="AL57" s="114"/>
      <c r="AM57" s="121">
        <v>48.0</v>
      </c>
      <c r="AN57" s="42">
        <f t="shared" si="9"/>
        <v>1E+48</v>
      </c>
      <c r="AO57" s="114"/>
    </row>
    <row r="58">
      <c r="A58" s="114"/>
      <c r="B58" s="114"/>
      <c r="C58" s="114"/>
      <c r="D58" s="114"/>
      <c r="E58" s="114"/>
      <c r="F58" s="114"/>
      <c r="G58" s="121">
        <v>49.0</v>
      </c>
      <c r="H58" s="42">
        <f t="shared" si="1"/>
        <v>2.39299E+29</v>
      </c>
      <c r="I58" s="114"/>
      <c r="J58" s="114"/>
      <c r="K58" s="121">
        <v>49.0</v>
      </c>
      <c r="L58" s="42">
        <f t="shared" si="2"/>
        <v>6.33825E+35</v>
      </c>
      <c r="M58" s="114"/>
      <c r="N58" s="114"/>
      <c r="O58" s="121">
        <v>49.0</v>
      </c>
      <c r="P58" s="42">
        <f t="shared" si="3"/>
        <v>5.32907E+40</v>
      </c>
      <c r="Q58" s="114"/>
      <c r="R58" s="114"/>
      <c r="S58" s="121">
        <v>49.0</v>
      </c>
      <c r="T58" s="42">
        <f t="shared" si="4"/>
        <v>5.38854E+45</v>
      </c>
      <c r="U58" s="114"/>
      <c r="V58" s="114"/>
      <c r="W58" s="121">
        <v>49.0</v>
      </c>
      <c r="X58" s="42">
        <f t="shared" si="5"/>
        <v>1.28462E+49</v>
      </c>
      <c r="Y58" s="114"/>
      <c r="Z58" s="114"/>
      <c r="AA58" s="121">
        <v>49.0</v>
      </c>
      <c r="AB58" s="42">
        <f t="shared" si="6"/>
        <v>1.07044E+53</v>
      </c>
      <c r="AC58" s="114"/>
      <c r="AD58" s="114"/>
      <c r="AE58" s="121">
        <v>49.0</v>
      </c>
      <c r="AF58" s="42">
        <f t="shared" si="7"/>
        <v>4.00849E+55</v>
      </c>
      <c r="AG58" s="114"/>
      <c r="AH58" s="114"/>
      <c r="AI58" s="121">
        <v>49.0</v>
      </c>
      <c r="AJ58" s="42">
        <f t="shared" si="8"/>
        <v>1E+49</v>
      </c>
      <c r="AK58" s="114"/>
      <c r="AL58" s="114"/>
      <c r="AM58" s="121">
        <v>49.0</v>
      </c>
      <c r="AN58" s="42">
        <f t="shared" si="9"/>
        <v>1E+49</v>
      </c>
      <c r="AO58" s="114"/>
    </row>
    <row r="59">
      <c r="A59" s="114"/>
      <c r="B59" s="114"/>
      <c r="C59" s="114"/>
      <c r="D59" s="114"/>
      <c r="E59" s="114"/>
      <c r="F59" s="114"/>
      <c r="G59" s="121">
        <v>50.0</v>
      </c>
      <c r="H59" s="45" t="s">
        <v>168</v>
      </c>
      <c r="I59" s="114"/>
      <c r="J59" s="114"/>
      <c r="K59" s="121">
        <v>50.0</v>
      </c>
      <c r="L59" s="45" t="s">
        <v>168</v>
      </c>
      <c r="M59" s="114"/>
      <c r="N59" s="114"/>
      <c r="O59" s="121">
        <v>50.0</v>
      </c>
      <c r="P59" s="45" t="s">
        <v>168</v>
      </c>
      <c r="Q59" s="114"/>
      <c r="R59" s="114"/>
      <c r="S59" s="121">
        <v>50.0</v>
      </c>
      <c r="T59" s="45" t="s">
        <v>168</v>
      </c>
      <c r="U59" s="114"/>
      <c r="V59" s="114"/>
      <c r="W59" s="121">
        <v>50.0</v>
      </c>
      <c r="X59" s="45" t="s">
        <v>168</v>
      </c>
      <c r="Y59" s="114"/>
      <c r="Z59" s="114"/>
      <c r="AA59" s="121">
        <v>50.0</v>
      </c>
      <c r="AB59" s="45" t="s">
        <v>168</v>
      </c>
      <c r="AC59" s="114"/>
      <c r="AD59" s="114"/>
      <c r="AE59" s="121">
        <v>50.0</v>
      </c>
      <c r="AF59" s="45" t="s">
        <v>168</v>
      </c>
      <c r="AG59" s="114"/>
      <c r="AH59" s="114"/>
      <c r="AI59" s="121">
        <v>50.0</v>
      </c>
      <c r="AJ59" s="45" t="s">
        <v>168</v>
      </c>
      <c r="AK59" s="114"/>
      <c r="AL59" s="114"/>
      <c r="AM59" s="121">
        <v>50.0</v>
      </c>
      <c r="AN59" s="45" t="s">
        <v>168</v>
      </c>
      <c r="AO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</row>
  </sheetData>
  <mergeCells count="13">
    <mergeCell ref="AE4:AF4"/>
    <mergeCell ref="AI4:AJ4"/>
    <mergeCell ref="AM4:AN4"/>
    <mergeCell ref="B9:B11"/>
    <mergeCell ref="C9:C11"/>
    <mergeCell ref="D9:D11"/>
    <mergeCell ref="B4:D4"/>
    <mergeCell ref="G4:H4"/>
    <mergeCell ref="K4:L4"/>
    <mergeCell ref="O4:P4"/>
    <mergeCell ref="S4:T4"/>
    <mergeCell ref="W4:X4"/>
    <mergeCell ref="AA4:AB4"/>
  </mergeCells>
  <drawing r:id="rId1"/>
</worksheet>
</file>